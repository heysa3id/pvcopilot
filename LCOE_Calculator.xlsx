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CAPEX" sheetId="2" state="visible" r:id="rId2"/>
    <sheet name="Schedule" sheetId="3" state="visible" r:id="rId3"/>
    <sheet name="Results" sheetId="4" state="visible" r:id="rId4"/>
    <sheet name="Sensitiv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2">
    <numFmt numFmtId="164" formatCode="$#,##0"/>
    <numFmt numFmtId="165" formatCode="0.0%"/>
    <numFmt numFmtId="166" formatCode="0.000%"/>
    <numFmt numFmtId="167" formatCode="#,##0.0"/>
    <numFmt numFmtId="168" formatCode="$#,##0;($#,##0);&quot;-&quot;"/>
    <numFmt numFmtId="169" formatCode="$#,##0;($#,##0);-"/>
    <numFmt numFmtId="170" formatCode="$0.0000"/>
    <numFmt numFmtId="171" formatCode="$#,##0.00"/>
    <numFmt numFmtId="172" formatCode="0.0 &quot;yr&quot;"/>
    <numFmt numFmtId="173" formatCode="0.00&quot;%&quot;"/>
    <numFmt numFmtId="174" formatCode="$0.0000;($0.0000);&quot;-&quot;"/>
    <numFmt numFmtId="175" formatCode="$0.0000;-$0.0000;&quot;-&quot;"/>
  </numFmts>
  <fonts count="21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i val="1"/>
      <color rgb="00666666"/>
      <sz val="10"/>
    </font>
    <font>
      <name val="Arial"/>
      <color rgb="00888888"/>
      <sz val="9"/>
    </font>
    <font>
      <name val="Arial"/>
      <i val="1"/>
      <color rgb="00444444"/>
      <sz val="8"/>
    </font>
    <font>
      <name val="Arial"/>
      <color rgb="00008000"/>
      <sz val="10"/>
    </font>
    <font>
      <name val="Arial"/>
      <b val="1"/>
      <color rgb="00000000"/>
      <sz val="10"/>
    </font>
    <font>
      <name val="Arial"/>
      <b val="1"/>
      <color rgb="00008000"/>
      <sz val="10"/>
    </font>
    <font>
      <name val="Arial"/>
      <b val="1"/>
      <color rgb="00FFFFFF"/>
      <sz val="11"/>
    </font>
    <font>
      <name val="Arial"/>
      <i val="1"/>
      <color rgb="00888888"/>
      <sz val="8"/>
    </font>
    <font>
      <name val="Arial"/>
      <color rgb="00444444"/>
      <sz val="10"/>
    </font>
    <font>
      <name val="Arial"/>
      <color rgb="00FFFFFF"/>
      <sz val="10"/>
    </font>
    <font>
      <name val="Arial"/>
      <b val="1"/>
      <color rgb="00000000"/>
      <sz val="11"/>
    </font>
    <font>
      <name val="Arial"/>
      <b val="1"/>
      <color rgb="001E3A5F"/>
      <sz val="12"/>
    </font>
    <font>
      <name val="Arial"/>
      <color rgb="00AAAAAA"/>
      <sz val="7"/>
    </font>
    <font>
      <name val="Arial"/>
      <b val="1"/>
      <color rgb="001E3A5F"/>
      <sz val="9"/>
    </font>
    <font>
      <name val="Arial"/>
      <color rgb="00888888"/>
      <sz val="10"/>
    </font>
  </fonts>
  <fills count="11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E6DA4"/>
      </patternFill>
    </fill>
    <fill>
      <patternFill patternType="solid">
        <fgColor rgb="001565C0"/>
      </patternFill>
    </fill>
    <fill>
      <patternFill patternType="solid">
        <fgColor rgb="00EAF2FB"/>
      </patternFill>
    </fill>
    <fill>
      <patternFill patternType="solid">
        <fgColor rgb="006A1B9A"/>
      </patternFill>
    </fill>
    <fill>
      <patternFill patternType="solid">
        <fgColor rgb="00E65100"/>
      </patternFill>
    </fill>
    <fill>
      <patternFill patternType="solid">
        <fgColor rgb="00B71C1C"/>
      </patternFill>
    </fill>
    <fill>
      <patternFill patternType="solid">
        <fgColor rgb="00FFFFFF"/>
      </patternFill>
    </fill>
    <fill>
      <patternFill patternType="solid">
        <fgColor rgb="00D6EAF8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indent="1"/>
    </xf>
    <xf numFmtId="0" fontId="4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 indent="1"/>
    </xf>
    <xf numFmtId="0" fontId="4" fillId="0" borderId="1" applyAlignment="1" pivotButton="0" quotePrefix="0" xfId="0">
      <alignment horizontal="left" vertical="center" indent="2"/>
    </xf>
    <xf numFmtId="0" fontId="4" fillId="0" borderId="1" applyAlignment="1" pivotButton="0" quotePrefix="0" xfId="0">
      <alignment horizontal="left" vertical="center"/>
    </xf>
    <xf numFmtId="4" fontId="5" fillId="0" borderId="1" applyAlignment="1" pivotButton="0" quotePrefix="0" xfId="0">
      <alignment horizontal="right" vertical="center"/>
    </xf>
    <xf numFmtId="164" fontId="9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0" fontId="10" fillId="5" borderId="1" applyAlignment="1" pivotButton="0" quotePrefix="0" xfId="0">
      <alignment horizontal="left" vertical="center" indent="1"/>
    </xf>
    <xf numFmtId="4" fontId="10" fillId="5" borderId="1" applyAlignment="1" pivotButton="0" quotePrefix="0" xfId="0">
      <alignment horizontal="right" vertical="center"/>
    </xf>
    <xf numFmtId="164" fontId="11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0" fontId="3" fillId="6" borderId="0" applyAlignment="1" pivotButton="0" quotePrefix="0" xfId="0">
      <alignment horizontal="left" vertical="center" indent="1"/>
    </xf>
    <xf numFmtId="0" fontId="3" fillId="7" borderId="0" applyAlignment="1" pivotButton="0" quotePrefix="0" xfId="0">
      <alignment horizontal="left" vertical="center" indent="1"/>
    </xf>
    <xf numFmtId="0" fontId="3" fillId="8" borderId="0" applyAlignment="1" pivotButton="0" quotePrefix="0" xfId="0">
      <alignment horizontal="left" vertical="center" indent="1"/>
    </xf>
    <xf numFmtId="0" fontId="12" fillId="2" borderId="1" applyAlignment="1" pivotButton="0" quotePrefix="0" xfId="0">
      <alignment horizontal="left" vertical="center" indent="1"/>
    </xf>
    <xf numFmtId="0" fontId="0" fillId="0" borderId="4" pivotButton="0" quotePrefix="0" xfId="0"/>
    <xf numFmtId="4" fontId="12" fillId="2" borderId="1" applyAlignment="1" pivotButton="0" quotePrefix="0" xfId="0">
      <alignment horizontal="right" vertical="center"/>
    </xf>
    <xf numFmtId="164" fontId="12" fillId="2" borderId="1" applyAlignment="1" pivotButton="0" quotePrefix="0" xfId="0">
      <alignment horizontal="right" vertical="center"/>
    </xf>
    <xf numFmtId="165" fontId="12" fillId="2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  <xf numFmtId="166" fontId="4" fillId="9" borderId="1" applyAlignment="1" pivotButton="0" quotePrefix="0" xfId="0">
      <alignment horizontal="right" vertical="center"/>
    </xf>
    <xf numFmtId="167" fontId="4" fillId="9" borderId="1" applyAlignment="1" pivotButton="0" quotePrefix="0" xfId="0">
      <alignment horizontal="right" vertical="center"/>
    </xf>
    <xf numFmtId="3" fontId="4" fillId="9" borderId="1" applyAlignment="1" pivotButton="0" quotePrefix="0" xfId="0">
      <alignment horizontal="right" vertical="center"/>
    </xf>
    <xf numFmtId="164" fontId="4" fillId="9" borderId="1" applyAlignment="1" pivotButton="0" quotePrefix="0" xfId="0">
      <alignment horizontal="right" vertical="center"/>
    </xf>
    <xf numFmtId="164" fontId="9" fillId="9" borderId="1" applyAlignment="1" pivotButton="0" quotePrefix="0" xfId="0">
      <alignment horizontal="right" vertical="center"/>
    </xf>
    <xf numFmtId="168" fontId="4" fillId="9" borderId="1" applyAlignment="1" pivotButton="0" quotePrefix="0" xfId="0">
      <alignment horizontal="right" vertical="center"/>
    </xf>
    <xf numFmtId="0" fontId="14" fillId="9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166" fontId="4" fillId="5" borderId="1" applyAlignment="1" pivotButton="0" quotePrefix="0" xfId="0">
      <alignment horizontal="right" vertical="center"/>
    </xf>
    <xf numFmtId="167" fontId="4" fillId="5" borderId="1" applyAlignment="1" pivotButton="0" quotePrefix="0" xfId="0">
      <alignment horizontal="right" vertical="center"/>
    </xf>
    <xf numFmtId="3" fontId="4" fillId="5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169" fontId="4" fillId="5" borderId="1" applyAlignment="1" pivotButton="0" quotePrefix="0" xfId="0">
      <alignment horizontal="right" vertical="center"/>
    </xf>
    <xf numFmtId="168" fontId="4" fillId="5" borderId="1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/>
    </xf>
    <xf numFmtId="169" fontId="4" fillId="9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/>
    </xf>
    <xf numFmtId="166" fontId="3" fillId="2" borderId="1" applyAlignment="1" pivotButton="0" quotePrefix="0" xfId="0">
      <alignment horizontal="right" vertical="center"/>
    </xf>
    <xf numFmtId="167" fontId="3" fillId="2" borderId="1" applyAlignment="1" pivotButton="0" quotePrefix="0" xfId="0">
      <alignment horizontal="right" vertical="center"/>
    </xf>
    <xf numFmtId="3" fontId="3" fillId="2" borderId="1" applyAlignment="1" pivotButton="0" quotePrefix="0" xfId="0">
      <alignment horizontal="right" vertical="center"/>
    </xf>
    <xf numFmtId="164" fontId="3" fillId="2" borderId="1" applyAlignment="1" pivotButton="0" quotePrefix="0" xfId="0">
      <alignment horizontal="right" vertical="center"/>
    </xf>
    <xf numFmtId="0" fontId="15" fillId="2" borderId="1" applyAlignment="1" pivotButton="0" quotePrefix="0" xfId="0">
      <alignment horizontal="center" vertical="center"/>
    </xf>
    <xf numFmtId="0" fontId="15" fillId="2" borderId="1" applyAlignment="1" pivotButton="0" quotePrefix="0" xfId="0">
      <alignment horizontal="left" vertical="center"/>
    </xf>
    <xf numFmtId="0" fontId="16" fillId="10" borderId="1" applyAlignment="1" pivotButton="0" quotePrefix="0" xfId="0">
      <alignment horizontal="left" vertical="center" indent="1"/>
    </xf>
    <xf numFmtId="170" fontId="17" fillId="10" borderId="1" applyAlignment="1" pivotButton="0" quotePrefix="0" xfId="0">
      <alignment horizontal="right" vertical="center"/>
    </xf>
    <xf numFmtId="0" fontId="6" fillId="10" borderId="1" applyAlignment="1" pivotButton="0" quotePrefix="0" xfId="0">
      <alignment horizontal="left" vertical="center"/>
    </xf>
    <xf numFmtId="0" fontId="7" fillId="10" borderId="1" applyAlignment="1" pivotButton="0" quotePrefix="0" xfId="0">
      <alignment horizontal="left" vertical="center"/>
    </xf>
    <xf numFmtId="171" fontId="4" fillId="0" borderId="1" applyAlignment="1" pivotButton="0" quotePrefix="0" xfId="0">
      <alignment horizontal="right" vertical="center"/>
    </xf>
    <xf numFmtId="0" fontId="10" fillId="0" borderId="1" applyAlignment="1" pivotButton="0" quotePrefix="0" xfId="0">
      <alignment horizontal="left" vertical="center" indent="1"/>
    </xf>
    <xf numFmtId="0" fontId="10" fillId="0" borderId="1" applyAlignment="1" pivotButton="0" quotePrefix="0" xfId="0">
      <alignment horizontal="right" vertical="center"/>
    </xf>
    <xf numFmtId="164" fontId="11" fillId="0" borderId="1" applyAlignment="1" pivotButton="0" quotePrefix="0" xfId="0">
      <alignment horizontal="right" vertical="center"/>
    </xf>
    <xf numFmtId="171" fontId="9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72" fontId="4" fillId="0" borderId="1" applyAlignment="1" pivotButton="0" quotePrefix="0" xfId="0">
      <alignment horizontal="right" vertical="center"/>
    </xf>
    <xf numFmtId="173" fontId="4" fillId="0" borderId="1" applyAlignment="1" pivotButton="0" quotePrefix="0" xfId="0">
      <alignment horizontal="right" vertical="center"/>
    </xf>
    <xf numFmtId="0" fontId="19" fillId="1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indent="1"/>
    </xf>
    <xf numFmtId="4" fontId="9" fillId="5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165" fontId="4" fillId="5" borderId="1" applyAlignment="1" pivotButton="0" quotePrefix="0" xfId="0">
      <alignment horizontal="right" vertical="center"/>
    </xf>
    <xf numFmtId="0" fontId="18" fillId="0" borderId="0" pivotButton="0" quotePrefix="0" xfId="0"/>
    <xf numFmtId="170" fontId="9" fillId="5" borderId="1" applyAlignment="1" pivotButton="0" quotePrefix="0" xfId="0">
      <alignment horizontal="right" vertical="center"/>
    </xf>
    <xf numFmtId="170" fontId="4" fillId="5" borderId="1" applyAlignment="1" pivotButton="0" quotePrefix="0" xfId="0">
      <alignment horizontal="right" vertical="center"/>
    </xf>
    <xf numFmtId="174" fontId="4" fillId="5" borderId="1" applyAlignment="1" pivotButton="0" quotePrefix="0" xfId="0">
      <alignment horizontal="right" vertical="center"/>
    </xf>
    <xf numFmtId="170" fontId="10" fillId="5" borderId="1" applyAlignment="1" pivotButton="0" quotePrefix="0" xfId="0">
      <alignment horizontal="right" vertical="center"/>
    </xf>
    <xf numFmtId="0" fontId="10" fillId="9" borderId="1" applyAlignment="1" pivotButton="0" quotePrefix="0" xfId="0">
      <alignment horizontal="left" vertical="center" indent="1"/>
    </xf>
    <xf numFmtId="170" fontId="9" fillId="9" borderId="1" applyAlignment="1" pivotButton="0" quotePrefix="0" xfId="0">
      <alignment horizontal="right" vertical="center"/>
    </xf>
    <xf numFmtId="170" fontId="4" fillId="9" borderId="1" applyAlignment="1" pivotButton="0" quotePrefix="0" xfId="0">
      <alignment horizontal="right" vertical="center"/>
    </xf>
    <xf numFmtId="174" fontId="4" fillId="9" borderId="1" applyAlignment="1" pivotButton="0" quotePrefix="0" xfId="0">
      <alignment horizontal="right" vertical="center"/>
    </xf>
    <xf numFmtId="170" fontId="10" fillId="9" borderId="1" applyAlignment="1" pivotButton="0" quotePrefix="0" xfId="0">
      <alignment horizontal="right" vertical="center"/>
    </xf>
    <xf numFmtId="170" fontId="20" fillId="5" borderId="1" applyAlignment="1" pivotButton="0" quotePrefix="0" xfId="0">
      <alignment horizontal="right" vertical="center"/>
    </xf>
    <xf numFmtId="175" fontId="20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8" customWidth="1" min="3" max="3"/>
    <col width="36" customWidth="1" min="4" max="4"/>
  </cols>
  <sheetData>
    <row r="1" ht="30" customHeight="1">
      <c r="A1" s="1" t="inlineStr">
        <is>
          <t>LCOE CALCULATOR — INPUTS</t>
        </is>
      </c>
    </row>
    <row r="2" ht="36" customHeight="1">
      <c r="A2" s="2" t="inlineStr">
        <is>
          <t>Parameter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Notes</t>
        </is>
      </c>
    </row>
    <row r="3" ht="20" customHeight="1">
      <c r="A3" s="3" t="inlineStr">
        <is>
          <t>A.  SYSTEM CONFIGURATION</t>
        </is>
      </c>
    </row>
    <row r="4" ht="18" customHeight="1">
      <c r="A4" s="4" t="inlineStr">
        <is>
          <t>System Capacity (DC STC)</t>
        </is>
      </c>
      <c r="B4" s="5" t="n">
        <v>1</v>
      </c>
      <c r="C4" s="6" t="inlineStr">
        <is>
          <t>kWp</t>
        </is>
      </c>
      <c r="D4" s="7" t="inlineStr">
        <is>
          <t>Total installed DC capacity</t>
        </is>
      </c>
    </row>
    <row r="5" ht="18" customHeight="1">
      <c r="A5" s="4" t="inlineStr">
        <is>
          <t>Specific Yield</t>
        </is>
      </c>
      <c r="B5" s="5" t="n">
        <v>1883</v>
      </c>
      <c r="C5" s="6" t="inlineStr">
        <is>
          <t>kWh/kWp/yr</t>
        </is>
      </c>
      <c r="D5" s="7" t="inlineStr">
        <is>
          <t>From energy simulation (PVsyst)</t>
        </is>
      </c>
    </row>
    <row r="6" ht="18" customHeight="1">
      <c r="A6" s="4" t="inlineStr">
        <is>
          <t>Annual Energy Production (E₀)</t>
        </is>
      </c>
      <c r="B6" s="8">
        <f>B4*B5</f>
        <v/>
      </c>
      <c r="C6" s="6" t="inlineStr">
        <is>
          <t>kWh/yr</t>
        </is>
      </c>
      <c r="D6" s="7">
        <f> Capacity × Specific Yield</f>
        <v/>
      </c>
    </row>
    <row r="7" ht="18" customHeight="1">
      <c r="A7" s="4" t="inlineStr">
        <is>
          <t>Performance Ratio (PR)</t>
        </is>
      </c>
      <c r="B7" s="5" t="n">
        <v>82.53</v>
      </c>
      <c r="C7" s="6" t="inlineStr">
        <is>
          <t>%</t>
        </is>
      </c>
      <c r="D7" s="7" t="inlineStr">
        <is>
          <t>System efficiency ratio</t>
        </is>
      </c>
    </row>
    <row r="8" ht="18" customHeight="1">
      <c r="A8" s="4" t="inlineStr">
        <is>
          <t>Rated AC Power</t>
        </is>
      </c>
      <c r="B8" s="5" t="n">
        <v>8.754</v>
      </c>
      <c r="C8" s="6" t="inlineStr">
        <is>
          <t>kWac</t>
        </is>
      </c>
      <c r="D8" s="7" t="inlineStr">
        <is>
          <t>Inverter nameplate capacity</t>
        </is>
      </c>
    </row>
    <row r="9" ht="18" customHeight="1">
      <c r="A9" s="4" t="inlineStr">
        <is>
          <t>DC/AC Ratio</t>
        </is>
      </c>
      <c r="B9" s="5" t="n">
        <v>1.14</v>
      </c>
      <c r="C9" s="6" t="inlineStr">
        <is>
          <t>—</t>
        </is>
      </c>
      <c r="D9" s="7" t="inlineStr">
        <is>
          <t>Inverter loading ratio</t>
        </is>
      </c>
    </row>
    <row r="10" ht="18" customHeight="1">
      <c r="A10" s="4" t="inlineStr">
        <is>
          <t>Module Power</t>
        </is>
      </c>
      <c r="B10" s="5" t="n">
        <v>605</v>
      </c>
      <c r="C10" s="6" t="inlineStr">
        <is>
          <t>Wp</t>
        </is>
      </c>
      <c r="D10" s="7" t="inlineStr">
        <is>
          <t>Per-module rated power (STC)</t>
        </is>
      </c>
    </row>
    <row r="12" ht="20" customHeight="1">
      <c r="A12" s="3" t="inlineStr">
        <is>
          <t>B.  DEGRADATION &amp; TEMPORAL</t>
        </is>
      </c>
    </row>
    <row r="13" ht="18" customHeight="1">
      <c r="A13" s="4" t="inlineStr">
        <is>
          <t>First-Year Factor (f₁)</t>
        </is>
      </c>
      <c r="B13" s="5" t="n">
        <v>0.975</v>
      </c>
      <c r="C13" s="6" t="inlineStr">
        <is>
          <t>—</t>
        </is>
      </c>
      <c r="D13" s="7" t="inlineStr">
        <is>
          <t>Initial production factor (soiling, LID)</t>
        </is>
      </c>
    </row>
    <row r="14" ht="18" customHeight="1">
      <c r="A14" s="4" t="inlineStr">
        <is>
          <t>Linear Degradation Rate (d)</t>
        </is>
      </c>
      <c r="B14" s="5" t="n">
        <v>0.0042</v>
      </c>
      <c r="C14" s="6" t="inlineStr">
        <is>
          <t>/yr</t>
        </is>
      </c>
      <c r="D14" s="7" t="inlineStr">
        <is>
          <t>Annual output decline (0.42 %/yr default)</t>
        </is>
      </c>
    </row>
    <row r="15" ht="18" customHeight="1">
      <c r="A15" s="4" t="inlineStr">
        <is>
          <t>Project Lifetime (n)</t>
        </is>
      </c>
      <c r="B15" s="5" t="n">
        <v>25</v>
      </c>
      <c r="C15" s="6" t="inlineStr">
        <is>
          <t>years</t>
        </is>
      </c>
      <c r="D15" s="7" t="inlineStr">
        <is>
          <t>Bankable system design lifetime</t>
        </is>
      </c>
    </row>
    <row r="17" ht="20" customHeight="1">
      <c r="A17" s="3" t="inlineStr">
        <is>
          <t>C.  FINANCIAL PARAMETERS</t>
        </is>
      </c>
    </row>
    <row r="18" ht="18" customHeight="1">
      <c r="A18" s="4" t="inlineStr">
        <is>
          <t>Discount Rate / WACC (r)</t>
        </is>
      </c>
      <c r="B18" s="5" t="n">
        <v>5</v>
      </c>
      <c r="C18" s="6" t="inlineStr">
        <is>
          <t>%</t>
        </is>
      </c>
      <c r="D18" s="7" t="inlineStr">
        <is>
          <t>Weighted average cost of capital</t>
        </is>
      </c>
    </row>
    <row r="19" ht="18" customHeight="1">
      <c r="A19" s="4" t="inlineStr">
        <is>
          <t>O&amp;M Cost</t>
        </is>
      </c>
      <c r="B19" s="5" t="n">
        <v>12</v>
      </c>
      <c r="C19" s="6" t="inlineStr">
        <is>
          <t>$/kWp/yr</t>
        </is>
      </c>
      <c r="D19" s="7" t="inlineStr">
        <is>
          <t>Annual operation &amp; maintenance</t>
        </is>
      </c>
    </row>
    <row r="20" ht="18" customHeight="1">
      <c r="A20" s="4" t="inlineStr">
        <is>
          <t>Tariff / PPA Rate</t>
        </is>
      </c>
      <c r="B20" s="5" t="n">
        <v>0.09</v>
      </c>
      <c r="C20" s="6" t="inlineStr">
        <is>
          <t>$/kWh</t>
        </is>
      </c>
      <c r="D20" s="7" t="inlineStr">
        <is>
          <t>Energy sale price (constant)</t>
        </is>
      </c>
    </row>
    <row r="22" ht="20" customHeight="1">
      <c r="A22" s="3" t="inlineStr">
        <is>
          <t>D.  LCOE RATING THRESHOLDS</t>
        </is>
      </c>
    </row>
    <row r="23" ht="18" customHeight="1">
      <c r="A23" s="4" t="inlineStr">
        <is>
          <t>Excellent — max LCOE</t>
        </is>
      </c>
      <c r="B23" s="5" t="n">
        <v>0.034</v>
      </c>
      <c r="C23" s="6" t="inlineStr">
        <is>
          <t>$/kWh</t>
        </is>
      </c>
      <c r="D23" s="7" t="inlineStr">
        <is>
          <t>LCOE below this threshold = Excellent</t>
        </is>
      </c>
    </row>
    <row r="24" ht="18" customHeight="1">
      <c r="A24" s="4" t="inlineStr">
        <is>
          <t>Low — min LCOE</t>
        </is>
      </c>
      <c r="B24" s="5" t="n">
        <v>0.045</v>
      </c>
      <c r="C24" s="6" t="inlineStr">
        <is>
          <t>$/kWh</t>
        </is>
      </c>
      <c r="D24" s="7" t="inlineStr">
        <is>
          <t>LCOE above this threshold = Low (Acceptable in between)</t>
        </is>
      </c>
    </row>
    <row r="26">
      <c r="A26" s="9" t="inlineStr">
        <is>
          <t>Colour legend:  Blue = hardcoded input (change freely)  |  Black = formula (do not edit)  |  Green = cross-sheet link</t>
        </is>
      </c>
    </row>
  </sheetData>
  <mergeCells count="6">
    <mergeCell ref="A1:D1"/>
    <mergeCell ref="A17:D17"/>
    <mergeCell ref="A22:D22"/>
    <mergeCell ref="A12:D12"/>
    <mergeCell ref="A3:D3"/>
    <mergeCell ref="A26:D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6" customWidth="1" min="4" max="4"/>
    <col width="12" customWidth="1" min="5" max="5"/>
  </cols>
  <sheetData>
    <row r="1" ht="30" customHeight="1">
      <c r="A1" s="1" t="inlineStr">
        <is>
          <t>CAPITAL EXPENDITURE (CAPEX) BREAKDOWN</t>
        </is>
      </c>
    </row>
    <row r="2" ht="36" customHeight="1">
      <c r="A2" s="2" t="inlineStr">
        <is>
          <t>Item</t>
        </is>
      </c>
      <c r="B2" s="2" t="inlineStr">
        <is>
          <t>Notes</t>
        </is>
      </c>
      <c r="C2" s="2" t="inlineStr">
        <is>
          <t>$/kWp</t>
        </is>
      </c>
      <c r="D2" s="2" t="inlineStr">
        <is>
          <t>Total ($)</t>
        </is>
      </c>
      <c r="E2" s="2" t="inlineStr">
        <is>
          <t>% of Total</t>
        </is>
      </c>
    </row>
    <row r="3" ht="20" customHeight="1">
      <c r="A3" s="10" t="inlineStr">
        <is>
          <t>Module &amp; Inverter Hardware</t>
        </is>
      </c>
    </row>
    <row r="4" ht="17" customHeight="1">
      <c r="A4" s="11" t="inlineStr">
        <is>
          <t>Modules</t>
        </is>
      </c>
      <c r="B4" s="12" t="inlineStr"/>
      <c r="C4" s="13" t="n">
        <v>200</v>
      </c>
      <c r="D4" s="14">
        <f>C4*Inputs!B4</f>
        <v/>
      </c>
      <c r="E4" s="15">
        <f>IF(C31=0,0,C4/C31)</f>
        <v/>
      </c>
    </row>
    <row r="5" ht="17" customHeight="1">
      <c r="A5" s="11" t="inlineStr">
        <is>
          <t>Inverters</t>
        </is>
      </c>
      <c r="B5" s="12" t="inlineStr"/>
      <c r="C5" s="13" t="n">
        <v>80</v>
      </c>
      <c r="D5" s="14">
        <f>C5*Inputs!B4</f>
        <v/>
      </c>
      <c r="E5" s="15">
        <f>IF(C31=0,0,C5/C31)</f>
        <v/>
      </c>
    </row>
    <row r="6" ht="18" customHeight="1">
      <c r="A6" s="16" t="inlineStr">
        <is>
          <t xml:space="preserve">  Module &amp; Inverter Hardware — Subtotal</t>
        </is>
      </c>
      <c r="C6" s="17">
        <f>SUM(C4:C5)</f>
        <v/>
      </c>
      <c r="D6" s="18">
        <f>SUM(D4:D5)</f>
        <v/>
      </c>
      <c r="E6" s="19" t="inlineStr"/>
    </row>
    <row r="8" ht="20" customHeight="1">
      <c r="A8" s="20" t="inlineStr">
        <is>
          <t>Balance of System (BOS)</t>
        </is>
      </c>
    </row>
    <row r="9" ht="17" customHeight="1">
      <c r="A9" s="11" t="inlineStr">
        <is>
          <t>Racking &amp; Mounting</t>
        </is>
      </c>
      <c r="B9" s="12" t="inlineStr"/>
      <c r="C9" s="13" t="n">
        <v>100</v>
      </c>
      <c r="D9" s="14">
        <f>C9*Inputs!B4</f>
        <v/>
      </c>
      <c r="E9" s="15">
        <f>IF(C31=0,0,C9/C31)</f>
        <v/>
      </c>
    </row>
    <row r="10" ht="17" customHeight="1">
      <c r="A10" s="11" t="inlineStr">
        <is>
          <t>Grid Connection</t>
        </is>
      </c>
      <c r="B10" s="12" t="inlineStr"/>
      <c r="C10" s="13" t="n">
        <v>40</v>
      </c>
      <c r="D10" s="14">
        <f>C10*Inputs!B4</f>
        <v/>
      </c>
      <c r="E10" s="15">
        <f>IF(C31=0,0,C10/C31)</f>
        <v/>
      </c>
    </row>
    <row r="11" ht="17" customHeight="1">
      <c r="A11" s="11" t="inlineStr">
        <is>
          <t>Cabling / Wiring</t>
        </is>
      </c>
      <c r="B11" s="12" t="inlineStr"/>
      <c r="C11" s="13" t="n">
        <v>40</v>
      </c>
      <c r="D11" s="14">
        <f>C11*Inputs!B4</f>
        <v/>
      </c>
      <c r="E11" s="15">
        <f>IF(C31=0,0,C11/C31)</f>
        <v/>
      </c>
    </row>
    <row r="12" ht="17" customHeight="1">
      <c r="A12" s="11" t="inlineStr">
        <is>
          <t>Safety &amp; Security</t>
        </is>
      </c>
      <c r="B12" s="12" t="inlineStr"/>
      <c r="C12" s="13" t="n">
        <v>7.6</v>
      </c>
      <c r="D12" s="14">
        <f>C12*Inputs!B4</f>
        <v/>
      </c>
      <c r="E12" s="15">
        <f>IF(C31=0,0,C12/C31)</f>
        <v/>
      </c>
    </row>
    <row r="13" ht="17" customHeight="1">
      <c r="A13" s="11" t="inlineStr">
        <is>
          <t>Monitoring &amp; Control</t>
        </is>
      </c>
      <c r="B13" s="12" t="inlineStr"/>
      <c r="C13" s="13" t="n">
        <v>3.2</v>
      </c>
      <c r="D13" s="14">
        <f>C13*Inputs!B4</f>
        <v/>
      </c>
      <c r="E13" s="15">
        <f>IF(C31=0,0,C13/C31)</f>
        <v/>
      </c>
    </row>
    <row r="14" ht="18" customHeight="1">
      <c r="A14" s="16" t="inlineStr">
        <is>
          <t xml:space="preserve">  Balance of System (BOS) — Subtotal</t>
        </is>
      </c>
      <c r="C14" s="17">
        <f>SUM(C9:C13)</f>
        <v/>
      </c>
      <c r="D14" s="18">
        <f>SUM(D9:D13)</f>
        <v/>
      </c>
      <c r="E14" s="19" t="inlineStr"/>
    </row>
    <row r="16" ht="20" customHeight="1">
      <c r="A16" s="21" t="inlineStr">
        <is>
          <t>Installation</t>
        </is>
      </c>
    </row>
    <row r="17" ht="17" customHeight="1">
      <c r="A17" s="11" t="inlineStr">
        <is>
          <t>Mechanical Installation</t>
        </is>
      </c>
      <c r="B17" s="12" t="inlineStr"/>
      <c r="C17" s="13" t="n">
        <v>60</v>
      </c>
      <c r="D17" s="14">
        <f>C17*Inputs!B4</f>
        <v/>
      </c>
      <c r="E17" s="15">
        <f>IF(C31=0,0,C17/C31)</f>
        <v/>
      </c>
    </row>
    <row r="18" ht="17" customHeight="1">
      <c r="A18" s="11" t="inlineStr">
        <is>
          <t>Electrical Installation</t>
        </is>
      </c>
      <c r="B18" s="12" t="inlineStr"/>
      <c r="C18" s="13" t="n">
        <v>56.9</v>
      </c>
      <c r="D18" s="14">
        <f>C18*Inputs!B4</f>
        <v/>
      </c>
      <c r="E18" s="15">
        <f>IF(C31=0,0,C18/C31)</f>
        <v/>
      </c>
    </row>
    <row r="19" ht="17" customHeight="1">
      <c r="A19" s="11" t="inlineStr">
        <is>
          <t>Inspection</t>
        </is>
      </c>
      <c r="B19" s="12" t="inlineStr"/>
      <c r="C19" s="13" t="n">
        <v>8.199999999999999</v>
      </c>
      <c r="D19" s="14">
        <f>C19*Inputs!B4</f>
        <v/>
      </c>
      <c r="E19" s="15">
        <f>IF(C31=0,0,C19/C31)</f>
        <v/>
      </c>
    </row>
    <row r="20" ht="18" customHeight="1">
      <c r="A20" s="16" t="inlineStr">
        <is>
          <t xml:space="preserve">  Installation — Subtotal</t>
        </is>
      </c>
      <c r="C20" s="17">
        <f>SUM(C17:C19)</f>
        <v/>
      </c>
      <c r="D20" s="18">
        <f>SUM(D17:D19)</f>
        <v/>
      </c>
      <c r="E20" s="19" t="inlineStr"/>
    </row>
    <row r="22" ht="20" customHeight="1">
      <c r="A22" s="22" t="inlineStr">
        <is>
          <t>Soft Costs</t>
        </is>
      </c>
    </row>
    <row r="23" ht="17" customHeight="1">
      <c r="A23" s="11" t="inlineStr">
        <is>
          <t>Margin</t>
        </is>
      </c>
      <c r="B23" s="12" t="inlineStr"/>
      <c r="C23" s="13" t="n">
        <v>47</v>
      </c>
      <c r="D23" s="14">
        <f>C23*Inputs!B4</f>
        <v/>
      </c>
      <c r="E23" s="15">
        <f>IF(C31=0,0,C23/C31)</f>
        <v/>
      </c>
    </row>
    <row r="24" ht="17" customHeight="1">
      <c r="A24" s="11" t="inlineStr">
        <is>
          <t>Financing Costs</t>
        </is>
      </c>
      <c r="B24" s="12" t="inlineStr"/>
      <c r="C24" s="13" t="n">
        <v>3.4</v>
      </c>
      <c r="D24" s="14">
        <f>C24*Inputs!B4</f>
        <v/>
      </c>
      <c r="E24" s="15">
        <f>IF(C31=0,0,C24/C31)</f>
        <v/>
      </c>
    </row>
    <row r="25" ht="17" customHeight="1">
      <c r="A25" s="11" t="inlineStr">
        <is>
          <t>System Design</t>
        </is>
      </c>
      <c r="B25" s="12" t="inlineStr"/>
      <c r="C25" s="13" t="n">
        <v>8.699999999999999</v>
      </c>
      <c r="D25" s="14">
        <f>C25*Inputs!B4</f>
        <v/>
      </c>
      <c r="E25" s="15">
        <f>IF(C31=0,0,C25/C31)</f>
        <v/>
      </c>
    </row>
    <row r="26" ht="17" customHeight="1">
      <c r="A26" s="11" t="inlineStr">
        <is>
          <t>Permitting</t>
        </is>
      </c>
      <c r="B26" s="12" t="inlineStr"/>
      <c r="C26" s="13" t="n">
        <v>12.9</v>
      </c>
      <c r="D26" s="14">
        <f>C26*Inputs!B4</f>
        <v/>
      </c>
      <c r="E26" s="15">
        <f>IF(C31=0,0,C26/C31)</f>
        <v/>
      </c>
    </row>
    <row r="27" ht="17" customHeight="1">
      <c r="A27" s="11" t="inlineStr">
        <is>
          <t>Incentive Application</t>
        </is>
      </c>
      <c r="B27" s="12" t="inlineStr"/>
      <c r="C27" s="13" t="n">
        <v>10.9</v>
      </c>
      <c r="D27" s="14">
        <f>C27*Inputs!B4</f>
        <v/>
      </c>
      <c r="E27" s="15">
        <f>IF(C31=0,0,C27/C31)</f>
        <v/>
      </c>
    </row>
    <row r="28" ht="17" customHeight="1">
      <c r="A28" s="11" t="inlineStr">
        <is>
          <t>Customer Acquisition</t>
        </is>
      </c>
      <c r="B28" s="12" t="inlineStr"/>
      <c r="C28" s="13" t="n">
        <v>3.5</v>
      </c>
      <c r="D28" s="14">
        <f>C28*Inputs!B4</f>
        <v/>
      </c>
      <c r="E28" s="15">
        <f>IF(C31=0,0,C28/C31)</f>
        <v/>
      </c>
    </row>
    <row r="29" ht="18" customHeight="1">
      <c r="A29" s="16" t="inlineStr">
        <is>
          <t xml:space="preserve">  Soft Costs — Subtotal</t>
        </is>
      </c>
      <c r="C29" s="17">
        <f>SUM(C23:C28)</f>
        <v/>
      </c>
      <c r="D29" s="18">
        <f>SUM(D23:D28)</f>
        <v/>
      </c>
      <c r="E29" s="19" t="inlineStr"/>
    </row>
    <row r="31" ht="24" customHeight="1">
      <c r="A31" s="23" t="inlineStr">
        <is>
          <t>GRAND TOTAL — $/kWp</t>
        </is>
      </c>
      <c r="B31" s="24" t="n"/>
      <c r="C31" s="25">
        <f>C6+C14+C20+C29</f>
        <v/>
      </c>
      <c r="D31" s="26">
        <f>C31*Inputs!B4</f>
        <v/>
      </c>
      <c r="E31" s="27" t="inlineStr">
        <is>
          <t>100%</t>
        </is>
      </c>
    </row>
    <row r="33">
      <c r="A33" s="28" t="inlineStr">
        <is>
          <t>Note: Blue cells ($/kWp) are editable. Total ($) = $/kWp × System Capacity (Inputs!B4). Default total = 682.3 $/kWp.</t>
        </is>
      </c>
    </row>
  </sheetData>
  <mergeCells count="11">
    <mergeCell ref="A20:B20"/>
    <mergeCell ref="A31:B31"/>
    <mergeCell ref="A16:B16"/>
    <mergeCell ref="A29:B29"/>
    <mergeCell ref="A33:E33"/>
    <mergeCell ref="A1:E1"/>
    <mergeCell ref="A14:B14"/>
    <mergeCell ref="A8:B8"/>
    <mergeCell ref="A3:B3"/>
    <mergeCell ref="A6:B6"/>
    <mergeCell ref="A22:B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14" customWidth="1" min="4" max="4"/>
    <col width="14" customWidth="1" min="5" max="5"/>
    <col width="18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22" customWidth="1" min="12" max="12"/>
  </cols>
  <sheetData>
    <row r="1" ht="30" customHeight="1">
      <c r="A1" s="1" t="inlineStr">
        <is>
          <t>ANNUAL ENERGY PRODUCTION &amp; CASH FLOW SCHEDULE</t>
        </is>
      </c>
    </row>
    <row r="2" ht="50" customHeight="1">
      <c r="A2" s="2" t="inlineStr">
        <is>
          <t>Year</t>
        </is>
      </c>
      <c r="B2" s="2" t="inlineStr">
        <is>
          <t>Deg. Factor
(%)</t>
        </is>
      </c>
      <c r="C2" s="2" t="inlineStr">
        <is>
          <t>Energy
(MWh)</t>
        </is>
      </c>
      <c r="D2" s="2" t="inlineStr">
        <is>
          <t>[LCOE]
Disc. Energy
(kWh)</t>
        </is>
      </c>
      <c r="E2" s="2" t="inlineStr">
        <is>
          <t>[LCOE]
Disc. O&amp;M
($)</t>
        </is>
      </c>
      <c r="F2" s="2" t="inlineStr">
        <is>
          <t>Revenue
(undiscounted $)</t>
        </is>
      </c>
      <c r="G2" s="2" t="inlineStr">
        <is>
          <t>[CF]
Disc. Revenue
($)</t>
        </is>
      </c>
      <c r="H2" s="2" t="inlineStr">
        <is>
          <t>[CF]
Disc. CAPEX
($)</t>
        </is>
      </c>
      <c r="I2" s="2" t="inlineStr">
        <is>
          <t>[CF]
Disc. O&amp;M
($)</t>
        </is>
      </c>
      <c r="J2" s="2" t="inlineStr">
        <is>
          <t>[CF]
Disc. Net CF
($)</t>
        </is>
      </c>
      <c r="K2" s="2" t="inlineStr">
        <is>
          <t>[CF]
Cumulative
Disc. CF ($)</t>
        </is>
      </c>
      <c r="L2" s="2" t="inlineStr">
        <is>
          <t>Active
(≤ Lifetime)</t>
        </is>
      </c>
    </row>
    <row r="3" ht="15" customHeight="1">
      <c r="A3" s="29" t="n">
        <v>1</v>
      </c>
      <c r="B3" s="30">
        <f>IF(1&lt;=Inputs!B15,1,0)*MAX(0,Inputs!B13-Inputs!B14*1)</f>
        <v/>
      </c>
      <c r="C3" s="31">
        <f>IF(1&lt;=Inputs!B15,1,0)*Inputs!B6*MAX(0,Inputs!B13-Inputs!B14*1)/1000</f>
        <v/>
      </c>
      <c r="D3" s="32">
        <f>IF(1&lt;=Inputs!B15,1,0)*Inputs!B6*MAX(0,Inputs!B13-Inputs!B14*1)/((1+Inputs!B18/100)^1)</f>
        <v/>
      </c>
      <c r="E3" s="33">
        <f>IF(1&lt;=Inputs!B15,1,0)*Inputs!B19*Inputs!B4/((1+Inputs!B18/100)^1)</f>
        <v/>
      </c>
      <c r="F3" s="33">
        <f>IF(1&lt;=Inputs!B15,1,0)*Inputs!B6*MAX(0,Inputs!B13-Inputs!B14*1)*Inputs!B20</f>
        <v/>
      </c>
      <c r="G3" s="33">
        <f>IF(1&lt;=Inputs!B15,1,0)*Inputs!B6*MAX(0,Inputs!B13-Inputs!B14*1)*Inputs!B20/((1+Inputs!B18/100)^(1-1))</f>
        <v/>
      </c>
      <c r="H3" s="34">
        <f>CAPEX!D31</f>
        <v/>
      </c>
      <c r="I3" s="33">
        <f>IF(1&lt;=Inputs!B15,1,0)*Inputs!B19*Inputs!B4/((1+Inputs!B18/100)^(1-1))</f>
        <v/>
      </c>
      <c r="J3" s="35">
        <f>G3-I3-H3</f>
        <v/>
      </c>
      <c r="K3" s="35">
        <f>J3</f>
        <v/>
      </c>
      <c r="L3" s="36">
        <f>IF(1&lt;=Inputs!B15,"Yes","")</f>
        <v/>
      </c>
    </row>
    <row r="4" ht="15" customHeight="1">
      <c r="A4" s="37" t="n">
        <v>2</v>
      </c>
      <c r="B4" s="38">
        <f>IF(2&lt;=Inputs!B15,1,0)*MAX(0,Inputs!B13-Inputs!B14*2)</f>
        <v/>
      </c>
      <c r="C4" s="39">
        <f>IF(2&lt;=Inputs!B15,1,0)*Inputs!B6*MAX(0,Inputs!B13-Inputs!B14*2)/1000</f>
        <v/>
      </c>
      <c r="D4" s="40">
        <f>IF(2&lt;=Inputs!B15,1,0)*Inputs!B6*MAX(0,Inputs!B13-Inputs!B14*2)/((1+Inputs!B18/100)^2)</f>
        <v/>
      </c>
      <c r="E4" s="41">
        <f>IF(2&lt;=Inputs!B15,1,0)*Inputs!B19*Inputs!B4/((1+Inputs!B18/100)^2)</f>
        <v/>
      </c>
      <c r="F4" s="41">
        <f>IF(2&lt;=Inputs!B15,1,0)*Inputs!B6*MAX(0,Inputs!B13-Inputs!B14*2)*Inputs!B20</f>
        <v/>
      </c>
      <c r="G4" s="41">
        <f>IF(2&lt;=Inputs!B15,1,0)*Inputs!B6*MAX(0,Inputs!B13-Inputs!B14*2)*Inputs!B20/((1+Inputs!B18/100)^(2-1))</f>
        <v/>
      </c>
      <c r="H4" s="42" t="n">
        <v>0</v>
      </c>
      <c r="I4" s="41">
        <f>IF(2&lt;=Inputs!B15,1,0)*Inputs!B19*Inputs!B4/((1+Inputs!B18/100)^(2-1))</f>
        <v/>
      </c>
      <c r="J4" s="43">
        <f>G4-I4-H4</f>
        <v/>
      </c>
      <c r="K4" s="43">
        <f>K3+J4</f>
        <v/>
      </c>
      <c r="L4" s="44">
        <f>IF(2&lt;=Inputs!B15,"Yes","")</f>
        <v/>
      </c>
    </row>
    <row r="5" ht="15" customHeight="1">
      <c r="A5" s="29" t="n">
        <v>3</v>
      </c>
      <c r="B5" s="30">
        <f>IF(3&lt;=Inputs!B15,1,0)*MAX(0,Inputs!B13-Inputs!B14*3)</f>
        <v/>
      </c>
      <c r="C5" s="31">
        <f>IF(3&lt;=Inputs!B15,1,0)*Inputs!B6*MAX(0,Inputs!B13-Inputs!B14*3)/1000</f>
        <v/>
      </c>
      <c r="D5" s="32">
        <f>IF(3&lt;=Inputs!B15,1,0)*Inputs!B6*MAX(0,Inputs!B13-Inputs!B14*3)/((1+Inputs!B18/100)^3)</f>
        <v/>
      </c>
      <c r="E5" s="33">
        <f>IF(3&lt;=Inputs!B15,1,0)*Inputs!B19*Inputs!B4/((1+Inputs!B18/100)^3)</f>
        <v/>
      </c>
      <c r="F5" s="33">
        <f>IF(3&lt;=Inputs!B15,1,0)*Inputs!B6*MAX(0,Inputs!B13-Inputs!B14*3)*Inputs!B20</f>
        <v/>
      </c>
      <c r="G5" s="33">
        <f>IF(3&lt;=Inputs!B15,1,0)*Inputs!B6*MAX(0,Inputs!B13-Inputs!B14*3)*Inputs!B20/((1+Inputs!B18/100)^(3-1))</f>
        <v/>
      </c>
      <c r="H5" s="45" t="n">
        <v>0</v>
      </c>
      <c r="I5" s="33">
        <f>IF(3&lt;=Inputs!B15,1,0)*Inputs!B19*Inputs!B4/((1+Inputs!B18/100)^(3-1))</f>
        <v/>
      </c>
      <c r="J5" s="35">
        <f>G5-I5-H5</f>
        <v/>
      </c>
      <c r="K5" s="35">
        <f>K4+J5</f>
        <v/>
      </c>
      <c r="L5" s="36">
        <f>IF(3&lt;=Inputs!B15,"Yes","")</f>
        <v/>
      </c>
    </row>
    <row r="6" ht="15" customHeight="1">
      <c r="A6" s="37" t="n">
        <v>4</v>
      </c>
      <c r="B6" s="38">
        <f>IF(4&lt;=Inputs!B15,1,0)*MAX(0,Inputs!B13-Inputs!B14*4)</f>
        <v/>
      </c>
      <c r="C6" s="39">
        <f>IF(4&lt;=Inputs!B15,1,0)*Inputs!B6*MAX(0,Inputs!B13-Inputs!B14*4)/1000</f>
        <v/>
      </c>
      <c r="D6" s="40">
        <f>IF(4&lt;=Inputs!B15,1,0)*Inputs!B6*MAX(0,Inputs!B13-Inputs!B14*4)/((1+Inputs!B18/100)^4)</f>
        <v/>
      </c>
      <c r="E6" s="41">
        <f>IF(4&lt;=Inputs!B15,1,0)*Inputs!B19*Inputs!B4/((1+Inputs!B18/100)^4)</f>
        <v/>
      </c>
      <c r="F6" s="41">
        <f>IF(4&lt;=Inputs!B15,1,0)*Inputs!B6*MAX(0,Inputs!B13-Inputs!B14*4)*Inputs!B20</f>
        <v/>
      </c>
      <c r="G6" s="41">
        <f>IF(4&lt;=Inputs!B15,1,0)*Inputs!B6*MAX(0,Inputs!B13-Inputs!B14*4)*Inputs!B20/((1+Inputs!B18/100)^(4-1))</f>
        <v/>
      </c>
      <c r="H6" s="42" t="n">
        <v>0</v>
      </c>
      <c r="I6" s="41">
        <f>IF(4&lt;=Inputs!B15,1,0)*Inputs!B19*Inputs!B4/((1+Inputs!B18/100)^(4-1))</f>
        <v/>
      </c>
      <c r="J6" s="43">
        <f>G6-I6-H6</f>
        <v/>
      </c>
      <c r="K6" s="43">
        <f>K5+J6</f>
        <v/>
      </c>
      <c r="L6" s="44">
        <f>IF(4&lt;=Inputs!B15,"Yes","")</f>
        <v/>
      </c>
    </row>
    <row r="7" ht="15" customHeight="1">
      <c r="A7" s="29" t="n">
        <v>5</v>
      </c>
      <c r="B7" s="30">
        <f>IF(5&lt;=Inputs!B15,1,0)*MAX(0,Inputs!B13-Inputs!B14*5)</f>
        <v/>
      </c>
      <c r="C7" s="31">
        <f>IF(5&lt;=Inputs!B15,1,0)*Inputs!B6*MAX(0,Inputs!B13-Inputs!B14*5)/1000</f>
        <v/>
      </c>
      <c r="D7" s="32">
        <f>IF(5&lt;=Inputs!B15,1,0)*Inputs!B6*MAX(0,Inputs!B13-Inputs!B14*5)/((1+Inputs!B18/100)^5)</f>
        <v/>
      </c>
      <c r="E7" s="33">
        <f>IF(5&lt;=Inputs!B15,1,0)*Inputs!B19*Inputs!B4/((1+Inputs!B18/100)^5)</f>
        <v/>
      </c>
      <c r="F7" s="33">
        <f>IF(5&lt;=Inputs!B15,1,0)*Inputs!B6*MAX(0,Inputs!B13-Inputs!B14*5)*Inputs!B20</f>
        <v/>
      </c>
      <c r="G7" s="33">
        <f>IF(5&lt;=Inputs!B15,1,0)*Inputs!B6*MAX(0,Inputs!B13-Inputs!B14*5)*Inputs!B20/((1+Inputs!B18/100)^(5-1))</f>
        <v/>
      </c>
      <c r="H7" s="45" t="n">
        <v>0</v>
      </c>
      <c r="I7" s="33">
        <f>IF(5&lt;=Inputs!B15,1,0)*Inputs!B19*Inputs!B4/((1+Inputs!B18/100)^(5-1))</f>
        <v/>
      </c>
      <c r="J7" s="35">
        <f>G7-I7-H7</f>
        <v/>
      </c>
      <c r="K7" s="35">
        <f>K6+J7</f>
        <v/>
      </c>
      <c r="L7" s="36">
        <f>IF(5&lt;=Inputs!B15,"Yes","")</f>
        <v/>
      </c>
    </row>
    <row r="8" ht="15" customHeight="1">
      <c r="A8" s="37" t="n">
        <v>6</v>
      </c>
      <c r="B8" s="38">
        <f>IF(6&lt;=Inputs!B15,1,0)*MAX(0,Inputs!B13-Inputs!B14*6)</f>
        <v/>
      </c>
      <c r="C8" s="39">
        <f>IF(6&lt;=Inputs!B15,1,0)*Inputs!B6*MAX(0,Inputs!B13-Inputs!B14*6)/1000</f>
        <v/>
      </c>
      <c r="D8" s="40">
        <f>IF(6&lt;=Inputs!B15,1,0)*Inputs!B6*MAX(0,Inputs!B13-Inputs!B14*6)/((1+Inputs!B18/100)^6)</f>
        <v/>
      </c>
      <c r="E8" s="41">
        <f>IF(6&lt;=Inputs!B15,1,0)*Inputs!B19*Inputs!B4/((1+Inputs!B18/100)^6)</f>
        <v/>
      </c>
      <c r="F8" s="41">
        <f>IF(6&lt;=Inputs!B15,1,0)*Inputs!B6*MAX(0,Inputs!B13-Inputs!B14*6)*Inputs!B20</f>
        <v/>
      </c>
      <c r="G8" s="41">
        <f>IF(6&lt;=Inputs!B15,1,0)*Inputs!B6*MAX(0,Inputs!B13-Inputs!B14*6)*Inputs!B20/((1+Inputs!B18/100)^(6-1))</f>
        <v/>
      </c>
      <c r="H8" s="42" t="n">
        <v>0</v>
      </c>
      <c r="I8" s="41">
        <f>IF(6&lt;=Inputs!B15,1,0)*Inputs!B19*Inputs!B4/((1+Inputs!B18/100)^(6-1))</f>
        <v/>
      </c>
      <c r="J8" s="43">
        <f>G8-I8-H8</f>
        <v/>
      </c>
      <c r="K8" s="43">
        <f>K7+J8</f>
        <v/>
      </c>
      <c r="L8" s="44">
        <f>IF(6&lt;=Inputs!B15,"Yes","")</f>
        <v/>
      </c>
    </row>
    <row r="9" ht="15" customHeight="1">
      <c r="A9" s="29" t="n">
        <v>7</v>
      </c>
      <c r="B9" s="30">
        <f>IF(7&lt;=Inputs!B15,1,0)*MAX(0,Inputs!B13-Inputs!B14*7)</f>
        <v/>
      </c>
      <c r="C9" s="31">
        <f>IF(7&lt;=Inputs!B15,1,0)*Inputs!B6*MAX(0,Inputs!B13-Inputs!B14*7)/1000</f>
        <v/>
      </c>
      <c r="D9" s="32">
        <f>IF(7&lt;=Inputs!B15,1,0)*Inputs!B6*MAX(0,Inputs!B13-Inputs!B14*7)/((1+Inputs!B18/100)^7)</f>
        <v/>
      </c>
      <c r="E9" s="33">
        <f>IF(7&lt;=Inputs!B15,1,0)*Inputs!B19*Inputs!B4/((1+Inputs!B18/100)^7)</f>
        <v/>
      </c>
      <c r="F9" s="33">
        <f>IF(7&lt;=Inputs!B15,1,0)*Inputs!B6*MAX(0,Inputs!B13-Inputs!B14*7)*Inputs!B20</f>
        <v/>
      </c>
      <c r="G9" s="33">
        <f>IF(7&lt;=Inputs!B15,1,0)*Inputs!B6*MAX(0,Inputs!B13-Inputs!B14*7)*Inputs!B20/((1+Inputs!B18/100)^(7-1))</f>
        <v/>
      </c>
      <c r="H9" s="45" t="n">
        <v>0</v>
      </c>
      <c r="I9" s="33">
        <f>IF(7&lt;=Inputs!B15,1,0)*Inputs!B19*Inputs!B4/((1+Inputs!B18/100)^(7-1))</f>
        <v/>
      </c>
      <c r="J9" s="35">
        <f>G9-I9-H9</f>
        <v/>
      </c>
      <c r="K9" s="35">
        <f>K8+J9</f>
        <v/>
      </c>
      <c r="L9" s="36">
        <f>IF(7&lt;=Inputs!B15,"Yes","")</f>
        <v/>
      </c>
    </row>
    <row r="10" ht="15" customHeight="1">
      <c r="A10" s="37" t="n">
        <v>8</v>
      </c>
      <c r="B10" s="38">
        <f>IF(8&lt;=Inputs!B15,1,0)*MAX(0,Inputs!B13-Inputs!B14*8)</f>
        <v/>
      </c>
      <c r="C10" s="39">
        <f>IF(8&lt;=Inputs!B15,1,0)*Inputs!B6*MAX(0,Inputs!B13-Inputs!B14*8)/1000</f>
        <v/>
      </c>
      <c r="D10" s="40">
        <f>IF(8&lt;=Inputs!B15,1,0)*Inputs!B6*MAX(0,Inputs!B13-Inputs!B14*8)/((1+Inputs!B18/100)^8)</f>
        <v/>
      </c>
      <c r="E10" s="41">
        <f>IF(8&lt;=Inputs!B15,1,0)*Inputs!B19*Inputs!B4/((1+Inputs!B18/100)^8)</f>
        <v/>
      </c>
      <c r="F10" s="41">
        <f>IF(8&lt;=Inputs!B15,1,0)*Inputs!B6*MAX(0,Inputs!B13-Inputs!B14*8)*Inputs!B20</f>
        <v/>
      </c>
      <c r="G10" s="41">
        <f>IF(8&lt;=Inputs!B15,1,0)*Inputs!B6*MAX(0,Inputs!B13-Inputs!B14*8)*Inputs!B20/((1+Inputs!B18/100)^(8-1))</f>
        <v/>
      </c>
      <c r="H10" s="42" t="n">
        <v>0</v>
      </c>
      <c r="I10" s="41">
        <f>IF(8&lt;=Inputs!B15,1,0)*Inputs!B19*Inputs!B4/((1+Inputs!B18/100)^(8-1))</f>
        <v/>
      </c>
      <c r="J10" s="43">
        <f>G10-I10-H10</f>
        <v/>
      </c>
      <c r="K10" s="43">
        <f>K9+J10</f>
        <v/>
      </c>
      <c r="L10" s="44">
        <f>IF(8&lt;=Inputs!B15,"Yes","")</f>
        <v/>
      </c>
    </row>
    <row r="11" ht="15" customHeight="1">
      <c r="A11" s="29" t="n">
        <v>9</v>
      </c>
      <c r="B11" s="30">
        <f>IF(9&lt;=Inputs!B15,1,0)*MAX(0,Inputs!B13-Inputs!B14*9)</f>
        <v/>
      </c>
      <c r="C11" s="31">
        <f>IF(9&lt;=Inputs!B15,1,0)*Inputs!B6*MAX(0,Inputs!B13-Inputs!B14*9)/1000</f>
        <v/>
      </c>
      <c r="D11" s="32">
        <f>IF(9&lt;=Inputs!B15,1,0)*Inputs!B6*MAX(0,Inputs!B13-Inputs!B14*9)/((1+Inputs!B18/100)^9)</f>
        <v/>
      </c>
      <c r="E11" s="33">
        <f>IF(9&lt;=Inputs!B15,1,0)*Inputs!B19*Inputs!B4/((1+Inputs!B18/100)^9)</f>
        <v/>
      </c>
      <c r="F11" s="33">
        <f>IF(9&lt;=Inputs!B15,1,0)*Inputs!B6*MAX(0,Inputs!B13-Inputs!B14*9)*Inputs!B20</f>
        <v/>
      </c>
      <c r="G11" s="33">
        <f>IF(9&lt;=Inputs!B15,1,0)*Inputs!B6*MAX(0,Inputs!B13-Inputs!B14*9)*Inputs!B20/((1+Inputs!B18/100)^(9-1))</f>
        <v/>
      </c>
      <c r="H11" s="45" t="n">
        <v>0</v>
      </c>
      <c r="I11" s="33">
        <f>IF(9&lt;=Inputs!B15,1,0)*Inputs!B19*Inputs!B4/((1+Inputs!B18/100)^(9-1))</f>
        <v/>
      </c>
      <c r="J11" s="35">
        <f>G11-I11-H11</f>
        <v/>
      </c>
      <c r="K11" s="35">
        <f>K10+J11</f>
        <v/>
      </c>
      <c r="L11" s="36">
        <f>IF(9&lt;=Inputs!B15,"Yes","")</f>
        <v/>
      </c>
    </row>
    <row r="12" ht="15" customHeight="1">
      <c r="A12" s="37" t="n">
        <v>10</v>
      </c>
      <c r="B12" s="38">
        <f>IF(10&lt;=Inputs!B15,1,0)*MAX(0,Inputs!B13-Inputs!B14*10)</f>
        <v/>
      </c>
      <c r="C12" s="39">
        <f>IF(10&lt;=Inputs!B15,1,0)*Inputs!B6*MAX(0,Inputs!B13-Inputs!B14*10)/1000</f>
        <v/>
      </c>
      <c r="D12" s="40">
        <f>IF(10&lt;=Inputs!B15,1,0)*Inputs!B6*MAX(0,Inputs!B13-Inputs!B14*10)/((1+Inputs!B18/100)^10)</f>
        <v/>
      </c>
      <c r="E12" s="41">
        <f>IF(10&lt;=Inputs!B15,1,0)*Inputs!B19*Inputs!B4/((1+Inputs!B18/100)^10)</f>
        <v/>
      </c>
      <c r="F12" s="41">
        <f>IF(10&lt;=Inputs!B15,1,0)*Inputs!B6*MAX(0,Inputs!B13-Inputs!B14*10)*Inputs!B20</f>
        <v/>
      </c>
      <c r="G12" s="41">
        <f>IF(10&lt;=Inputs!B15,1,0)*Inputs!B6*MAX(0,Inputs!B13-Inputs!B14*10)*Inputs!B20/((1+Inputs!B18/100)^(10-1))</f>
        <v/>
      </c>
      <c r="H12" s="42" t="n">
        <v>0</v>
      </c>
      <c r="I12" s="41">
        <f>IF(10&lt;=Inputs!B15,1,0)*Inputs!B19*Inputs!B4/((1+Inputs!B18/100)^(10-1))</f>
        <v/>
      </c>
      <c r="J12" s="43">
        <f>G12-I12-H12</f>
        <v/>
      </c>
      <c r="K12" s="43">
        <f>K11+J12</f>
        <v/>
      </c>
      <c r="L12" s="44">
        <f>IF(10&lt;=Inputs!B15,"Yes","")</f>
        <v/>
      </c>
    </row>
    <row r="13" ht="15" customHeight="1">
      <c r="A13" s="29" t="n">
        <v>11</v>
      </c>
      <c r="B13" s="30">
        <f>IF(11&lt;=Inputs!B15,1,0)*MAX(0,Inputs!B13-Inputs!B14*11)</f>
        <v/>
      </c>
      <c r="C13" s="31">
        <f>IF(11&lt;=Inputs!B15,1,0)*Inputs!B6*MAX(0,Inputs!B13-Inputs!B14*11)/1000</f>
        <v/>
      </c>
      <c r="D13" s="32">
        <f>IF(11&lt;=Inputs!B15,1,0)*Inputs!B6*MAX(0,Inputs!B13-Inputs!B14*11)/((1+Inputs!B18/100)^11)</f>
        <v/>
      </c>
      <c r="E13" s="33">
        <f>IF(11&lt;=Inputs!B15,1,0)*Inputs!B19*Inputs!B4/((1+Inputs!B18/100)^11)</f>
        <v/>
      </c>
      <c r="F13" s="33">
        <f>IF(11&lt;=Inputs!B15,1,0)*Inputs!B6*MAX(0,Inputs!B13-Inputs!B14*11)*Inputs!B20</f>
        <v/>
      </c>
      <c r="G13" s="33">
        <f>IF(11&lt;=Inputs!B15,1,0)*Inputs!B6*MAX(0,Inputs!B13-Inputs!B14*11)*Inputs!B20/((1+Inputs!B18/100)^(11-1))</f>
        <v/>
      </c>
      <c r="H13" s="45" t="n">
        <v>0</v>
      </c>
      <c r="I13" s="33">
        <f>IF(11&lt;=Inputs!B15,1,0)*Inputs!B19*Inputs!B4/((1+Inputs!B18/100)^(11-1))</f>
        <v/>
      </c>
      <c r="J13" s="35">
        <f>G13-I13-H13</f>
        <v/>
      </c>
      <c r="K13" s="35">
        <f>K12+J13</f>
        <v/>
      </c>
      <c r="L13" s="36">
        <f>IF(11&lt;=Inputs!B15,"Yes","")</f>
        <v/>
      </c>
    </row>
    <row r="14" ht="15" customHeight="1">
      <c r="A14" s="37" t="n">
        <v>12</v>
      </c>
      <c r="B14" s="38">
        <f>IF(12&lt;=Inputs!B15,1,0)*MAX(0,Inputs!B13-Inputs!B14*12)</f>
        <v/>
      </c>
      <c r="C14" s="39">
        <f>IF(12&lt;=Inputs!B15,1,0)*Inputs!B6*MAX(0,Inputs!B13-Inputs!B14*12)/1000</f>
        <v/>
      </c>
      <c r="D14" s="40">
        <f>IF(12&lt;=Inputs!B15,1,0)*Inputs!B6*MAX(0,Inputs!B13-Inputs!B14*12)/((1+Inputs!B18/100)^12)</f>
        <v/>
      </c>
      <c r="E14" s="41">
        <f>IF(12&lt;=Inputs!B15,1,0)*Inputs!B19*Inputs!B4/((1+Inputs!B18/100)^12)</f>
        <v/>
      </c>
      <c r="F14" s="41">
        <f>IF(12&lt;=Inputs!B15,1,0)*Inputs!B6*MAX(0,Inputs!B13-Inputs!B14*12)*Inputs!B20</f>
        <v/>
      </c>
      <c r="G14" s="41">
        <f>IF(12&lt;=Inputs!B15,1,0)*Inputs!B6*MAX(0,Inputs!B13-Inputs!B14*12)*Inputs!B20/((1+Inputs!B18/100)^(12-1))</f>
        <v/>
      </c>
      <c r="H14" s="42" t="n">
        <v>0</v>
      </c>
      <c r="I14" s="41">
        <f>IF(12&lt;=Inputs!B15,1,0)*Inputs!B19*Inputs!B4/((1+Inputs!B18/100)^(12-1))</f>
        <v/>
      </c>
      <c r="J14" s="43">
        <f>G14-I14-H14</f>
        <v/>
      </c>
      <c r="K14" s="43">
        <f>K13+J14</f>
        <v/>
      </c>
      <c r="L14" s="44">
        <f>IF(12&lt;=Inputs!B15,"Yes","")</f>
        <v/>
      </c>
    </row>
    <row r="15" ht="15" customHeight="1">
      <c r="A15" s="29" t="n">
        <v>13</v>
      </c>
      <c r="B15" s="30">
        <f>IF(13&lt;=Inputs!B15,1,0)*MAX(0,Inputs!B13-Inputs!B14*13)</f>
        <v/>
      </c>
      <c r="C15" s="31">
        <f>IF(13&lt;=Inputs!B15,1,0)*Inputs!B6*MAX(0,Inputs!B13-Inputs!B14*13)/1000</f>
        <v/>
      </c>
      <c r="D15" s="32">
        <f>IF(13&lt;=Inputs!B15,1,0)*Inputs!B6*MAX(0,Inputs!B13-Inputs!B14*13)/((1+Inputs!B18/100)^13)</f>
        <v/>
      </c>
      <c r="E15" s="33">
        <f>IF(13&lt;=Inputs!B15,1,0)*Inputs!B19*Inputs!B4/((1+Inputs!B18/100)^13)</f>
        <v/>
      </c>
      <c r="F15" s="33">
        <f>IF(13&lt;=Inputs!B15,1,0)*Inputs!B6*MAX(0,Inputs!B13-Inputs!B14*13)*Inputs!B20</f>
        <v/>
      </c>
      <c r="G15" s="33">
        <f>IF(13&lt;=Inputs!B15,1,0)*Inputs!B6*MAX(0,Inputs!B13-Inputs!B14*13)*Inputs!B20/((1+Inputs!B18/100)^(13-1))</f>
        <v/>
      </c>
      <c r="H15" s="45" t="n">
        <v>0</v>
      </c>
      <c r="I15" s="33">
        <f>IF(13&lt;=Inputs!B15,1,0)*Inputs!B19*Inputs!B4/((1+Inputs!B18/100)^(13-1))</f>
        <v/>
      </c>
      <c r="J15" s="35">
        <f>G15-I15-H15</f>
        <v/>
      </c>
      <c r="K15" s="35">
        <f>K14+J15</f>
        <v/>
      </c>
      <c r="L15" s="36">
        <f>IF(13&lt;=Inputs!B15,"Yes","")</f>
        <v/>
      </c>
    </row>
    <row r="16" ht="15" customHeight="1">
      <c r="A16" s="37" t="n">
        <v>14</v>
      </c>
      <c r="B16" s="38">
        <f>IF(14&lt;=Inputs!B15,1,0)*MAX(0,Inputs!B13-Inputs!B14*14)</f>
        <v/>
      </c>
      <c r="C16" s="39">
        <f>IF(14&lt;=Inputs!B15,1,0)*Inputs!B6*MAX(0,Inputs!B13-Inputs!B14*14)/1000</f>
        <v/>
      </c>
      <c r="D16" s="40">
        <f>IF(14&lt;=Inputs!B15,1,0)*Inputs!B6*MAX(0,Inputs!B13-Inputs!B14*14)/((1+Inputs!B18/100)^14)</f>
        <v/>
      </c>
      <c r="E16" s="41">
        <f>IF(14&lt;=Inputs!B15,1,0)*Inputs!B19*Inputs!B4/((1+Inputs!B18/100)^14)</f>
        <v/>
      </c>
      <c r="F16" s="41">
        <f>IF(14&lt;=Inputs!B15,1,0)*Inputs!B6*MAX(0,Inputs!B13-Inputs!B14*14)*Inputs!B20</f>
        <v/>
      </c>
      <c r="G16" s="41">
        <f>IF(14&lt;=Inputs!B15,1,0)*Inputs!B6*MAX(0,Inputs!B13-Inputs!B14*14)*Inputs!B20/((1+Inputs!B18/100)^(14-1))</f>
        <v/>
      </c>
      <c r="H16" s="42" t="n">
        <v>0</v>
      </c>
      <c r="I16" s="41">
        <f>IF(14&lt;=Inputs!B15,1,0)*Inputs!B19*Inputs!B4/((1+Inputs!B18/100)^(14-1))</f>
        <v/>
      </c>
      <c r="J16" s="43">
        <f>G16-I16-H16</f>
        <v/>
      </c>
      <c r="K16" s="43">
        <f>K15+J16</f>
        <v/>
      </c>
      <c r="L16" s="44">
        <f>IF(14&lt;=Inputs!B15,"Yes","")</f>
        <v/>
      </c>
    </row>
    <row r="17" ht="15" customHeight="1">
      <c r="A17" s="29" t="n">
        <v>15</v>
      </c>
      <c r="B17" s="30">
        <f>IF(15&lt;=Inputs!B15,1,0)*MAX(0,Inputs!B13-Inputs!B14*15)</f>
        <v/>
      </c>
      <c r="C17" s="31">
        <f>IF(15&lt;=Inputs!B15,1,0)*Inputs!B6*MAX(0,Inputs!B13-Inputs!B14*15)/1000</f>
        <v/>
      </c>
      <c r="D17" s="32">
        <f>IF(15&lt;=Inputs!B15,1,0)*Inputs!B6*MAX(0,Inputs!B13-Inputs!B14*15)/((1+Inputs!B18/100)^15)</f>
        <v/>
      </c>
      <c r="E17" s="33">
        <f>IF(15&lt;=Inputs!B15,1,0)*Inputs!B19*Inputs!B4/((1+Inputs!B18/100)^15)</f>
        <v/>
      </c>
      <c r="F17" s="33">
        <f>IF(15&lt;=Inputs!B15,1,0)*Inputs!B6*MAX(0,Inputs!B13-Inputs!B14*15)*Inputs!B20</f>
        <v/>
      </c>
      <c r="G17" s="33">
        <f>IF(15&lt;=Inputs!B15,1,0)*Inputs!B6*MAX(0,Inputs!B13-Inputs!B14*15)*Inputs!B20/((1+Inputs!B18/100)^(15-1))</f>
        <v/>
      </c>
      <c r="H17" s="45" t="n">
        <v>0</v>
      </c>
      <c r="I17" s="33">
        <f>IF(15&lt;=Inputs!B15,1,0)*Inputs!B19*Inputs!B4/((1+Inputs!B18/100)^(15-1))</f>
        <v/>
      </c>
      <c r="J17" s="35">
        <f>G17-I17-H17</f>
        <v/>
      </c>
      <c r="K17" s="35">
        <f>K16+J17</f>
        <v/>
      </c>
      <c r="L17" s="36">
        <f>IF(15&lt;=Inputs!B15,"Yes","")</f>
        <v/>
      </c>
    </row>
    <row r="18" ht="15" customHeight="1">
      <c r="A18" s="37" t="n">
        <v>16</v>
      </c>
      <c r="B18" s="38">
        <f>IF(16&lt;=Inputs!B15,1,0)*MAX(0,Inputs!B13-Inputs!B14*16)</f>
        <v/>
      </c>
      <c r="C18" s="39">
        <f>IF(16&lt;=Inputs!B15,1,0)*Inputs!B6*MAX(0,Inputs!B13-Inputs!B14*16)/1000</f>
        <v/>
      </c>
      <c r="D18" s="40">
        <f>IF(16&lt;=Inputs!B15,1,0)*Inputs!B6*MAX(0,Inputs!B13-Inputs!B14*16)/((1+Inputs!B18/100)^16)</f>
        <v/>
      </c>
      <c r="E18" s="41">
        <f>IF(16&lt;=Inputs!B15,1,0)*Inputs!B19*Inputs!B4/((1+Inputs!B18/100)^16)</f>
        <v/>
      </c>
      <c r="F18" s="41">
        <f>IF(16&lt;=Inputs!B15,1,0)*Inputs!B6*MAX(0,Inputs!B13-Inputs!B14*16)*Inputs!B20</f>
        <v/>
      </c>
      <c r="G18" s="41">
        <f>IF(16&lt;=Inputs!B15,1,0)*Inputs!B6*MAX(0,Inputs!B13-Inputs!B14*16)*Inputs!B20/((1+Inputs!B18/100)^(16-1))</f>
        <v/>
      </c>
      <c r="H18" s="42" t="n">
        <v>0</v>
      </c>
      <c r="I18" s="41">
        <f>IF(16&lt;=Inputs!B15,1,0)*Inputs!B19*Inputs!B4/((1+Inputs!B18/100)^(16-1))</f>
        <v/>
      </c>
      <c r="J18" s="43">
        <f>G18-I18-H18</f>
        <v/>
      </c>
      <c r="K18" s="43">
        <f>K17+J18</f>
        <v/>
      </c>
      <c r="L18" s="44">
        <f>IF(16&lt;=Inputs!B15,"Yes","")</f>
        <v/>
      </c>
    </row>
    <row r="19" ht="15" customHeight="1">
      <c r="A19" s="29" t="n">
        <v>17</v>
      </c>
      <c r="B19" s="30">
        <f>IF(17&lt;=Inputs!B15,1,0)*MAX(0,Inputs!B13-Inputs!B14*17)</f>
        <v/>
      </c>
      <c r="C19" s="31">
        <f>IF(17&lt;=Inputs!B15,1,0)*Inputs!B6*MAX(0,Inputs!B13-Inputs!B14*17)/1000</f>
        <v/>
      </c>
      <c r="D19" s="32">
        <f>IF(17&lt;=Inputs!B15,1,0)*Inputs!B6*MAX(0,Inputs!B13-Inputs!B14*17)/((1+Inputs!B18/100)^17)</f>
        <v/>
      </c>
      <c r="E19" s="33">
        <f>IF(17&lt;=Inputs!B15,1,0)*Inputs!B19*Inputs!B4/((1+Inputs!B18/100)^17)</f>
        <v/>
      </c>
      <c r="F19" s="33">
        <f>IF(17&lt;=Inputs!B15,1,0)*Inputs!B6*MAX(0,Inputs!B13-Inputs!B14*17)*Inputs!B20</f>
        <v/>
      </c>
      <c r="G19" s="33">
        <f>IF(17&lt;=Inputs!B15,1,0)*Inputs!B6*MAX(0,Inputs!B13-Inputs!B14*17)*Inputs!B20/((1+Inputs!B18/100)^(17-1))</f>
        <v/>
      </c>
      <c r="H19" s="45" t="n">
        <v>0</v>
      </c>
      <c r="I19" s="33">
        <f>IF(17&lt;=Inputs!B15,1,0)*Inputs!B19*Inputs!B4/((1+Inputs!B18/100)^(17-1))</f>
        <v/>
      </c>
      <c r="J19" s="35">
        <f>G19-I19-H19</f>
        <v/>
      </c>
      <c r="K19" s="35">
        <f>K18+J19</f>
        <v/>
      </c>
      <c r="L19" s="36">
        <f>IF(17&lt;=Inputs!B15,"Yes","")</f>
        <v/>
      </c>
    </row>
    <row r="20" ht="15" customHeight="1">
      <c r="A20" s="37" t="n">
        <v>18</v>
      </c>
      <c r="B20" s="38">
        <f>IF(18&lt;=Inputs!B15,1,0)*MAX(0,Inputs!B13-Inputs!B14*18)</f>
        <v/>
      </c>
      <c r="C20" s="39">
        <f>IF(18&lt;=Inputs!B15,1,0)*Inputs!B6*MAX(0,Inputs!B13-Inputs!B14*18)/1000</f>
        <v/>
      </c>
      <c r="D20" s="40">
        <f>IF(18&lt;=Inputs!B15,1,0)*Inputs!B6*MAX(0,Inputs!B13-Inputs!B14*18)/((1+Inputs!B18/100)^18)</f>
        <v/>
      </c>
      <c r="E20" s="41">
        <f>IF(18&lt;=Inputs!B15,1,0)*Inputs!B19*Inputs!B4/((1+Inputs!B18/100)^18)</f>
        <v/>
      </c>
      <c r="F20" s="41">
        <f>IF(18&lt;=Inputs!B15,1,0)*Inputs!B6*MAX(0,Inputs!B13-Inputs!B14*18)*Inputs!B20</f>
        <v/>
      </c>
      <c r="G20" s="41">
        <f>IF(18&lt;=Inputs!B15,1,0)*Inputs!B6*MAX(0,Inputs!B13-Inputs!B14*18)*Inputs!B20/((1+Inputs!B18/100)^(18-1))</f>
        <v/>
      </c>
      <c r="H20" s="42" t="n">
        <v>0</v>
      </c>
      <c r="I20" s="41">
        <f>IF(18&lt;=Inputs!B15,1,0)*Inputs!B19*Inputs!B4/((1+Inputs!B18/100)^(18-1))</f>
        <v/>
      </c>
      <c r="J20" s="43">
        <f>G20-I20-H20</f>
        <v/>
      </c>
      <c r="K20" s="43">
        <f>K19+J20</f>
        <v/>
      </c>
      <c r="L20" s="44">
        <f>IF(18&lt;=Inputs!B15,"Yes","")</f>
        <v/>
      </c>
    </row>
    <row r="21" ht="15" customHeight="1">
      <c r="A21" s="29" t="n">
        <v>19</v>
      </c>
      <c r="B21" s="30">
        <f>IF(19&lt;=Inputs!B15,1,0)*MAX(0,Inputs!B13-Inputs!B14*19)</f>
        <v/>
      </c>
      <c r="C21" s="31">
        <f>IF(19&lt;=Inputs!B15,1,0)*Inputs!B6*MAX(0,Inputs!B13-Inputs!B14*19)/1000</f>
        <v/>
      </c>
      <c r="D21" s="32">
        <f>IF(19&lt;=Inputs!B15,1,0)*Inputs!B6*MAX(0,Inputs!B13-Inputs!B14*19)/((1+Inputs!B18/100)^19)</f>
        <v/>
      </c>
      <c r="E21" s="33">
        <f>IF(19&lt;=Inputs!B15,1,0)*Inputs!B19*Inputs!B4/((1+Inputs!B18/100)^19)</f>
        <v/>
      </c>
      <c r="F21" s="33">
        <f>IF(19&lt;=Inputs!B15,1,0)*Inputs!B6*MAX(0,Inputs!B13-Inputs!B14*19)*Inputs!B20</f>
        <v/>
      </c>
      <c r="G21" s="33">
        <f>IF(19&lt;=Inputs!B15,1,0)*Inputs!B6*MAX(0,Inputs!B13-Inputs!B14*19)*Inputs!B20/((1+Inputs!B18/100)^(19-1))</f>
        <v/>
      </c>
      <c r="H21" s="45" t="n">
        <v>0</v>
      </c>
      <c r="I21" s="33">
        <f>IF(19&lt;=Inputs!B15,1,0)*Inputs!B19*Inputs!B4/((1+Inputs!B18/100)^(19-1))</f>
        <v/>
      </c>
      <c r="J21" s="35">
        <f>G21-I21-H21</f>
        <v/>
      </c>
      <c r="K21" s="35">
        <f>K20+J21</f>
        <v/>
      </c>
      <c r="L21" s="36">
        <f>IF(19&lt;=Inputs!B15,"Yes","")</f>
        <v/>
      </c>
    </row>
    <row r="22" ht="15" customHeight="1">
      <c r="A22" s="37" t="n">
        <v>20</v>
      </c>
      <c r="B22" s="38">
        <f>IF(20&lt;=Inputs!B15,1,0)*MAX(0,Inputs!B13-Inputs!B14*20)</f>
        <v/>
      </c>
      <c r="C22" s="39">
        <f>IF(20&lt;=Inputs!B15,1,0)*Inputs!B6*MAX(0,Inputs!B13-Inputs!B14*20)/1000</f>
        <v/>
      </c>
      <c r="D22" s="40">
        <f>IF(20&lt;=Inputs!B15,1,0)*Inputs!B6*MAX(0,Inputs!B13-Inputs!B14*20)/((1+Inputs!B18/100)^20)</f>
        <v/>
      </c>
      <c r="E22" s="41">
        <f>IF(20&lt;=Inputs!B15,1,0)*Inputs!B19*Inputs!B4/((1+Inputs!B18/100)^20)</f>
        <v/>
      </c>
      <c r="F22" s="41">
        <f>IF(20&lt;=Inputs!B15,1,0)*Inputs!B6*MAX(0,Inputs!B13-Inputs!B14*20)*Inputs!B20</f>
        <v/>
      </c>
      <c r="G22" s="41">
        <f>IF(20&lt;=Inputs!B15,1,0)*Inputs!B6*MAX(0,Inputs!B13-Inputs!B14*20)*Inputs!B20/((1+Inputs!B18/100)^(20-1))</f>
        <v/>
      </c>
      <c r="H22" s="42" t="n">
        <v>0</v>
      </c>
      <c r="I22" s="41">
        <f>IF(20&lt;=Inputs!B15,1,0)*Inputs!B19*Inputs!B4/((1+Inputs!B18/100)^(20-1))</f>
        <v/>
      </c>
      <c r="J22" s="43">
        <f>G22-I22-H22</f>
        <v/>
      </c>
      <c r="K22" s="43">
        <f>K21+J22</f>
        <v/>
      </c>
      <c r="L22" s="44">
        <f>IF(20&lt;=Inputs!B15,"Yes","")</f>
        <v/>
      </c>
    </row>
    <row r="23" ht="15" customHeight="1">
      <c r="A23" s="29" t="n">
        <v>21</v>
      </c>
      <c r="B23" s="30">
        <f>IF(21&lt;=Inputs!B15,1,0)*MAX(0,Inputs!B13-Inputs!B14*21)</f>
        <v/>
      </c>
      <c r="C23" s="31">
        <f>IF(21&lt;=Inputs!B15,1,0)*Inputs!B6*MAX(0,Inputs!B13-Inputs!B14*21)/1000</f>
        <v/>
      </c>
      <c r="D23" s="32">
        <f>IF(21&lt;=Inputs!B15,1,0)*Inputs!B6*MAX(0,Inputs!B13-Inputs!B14*21)/((1+Inputs!B18/100)^21)</f>
        <v/>
      </c>
      <c r="E23" s="33">
        <f>IF(21&lt;=Inputs!B15,1,0)*Inputs!B19*Inputs!B4/((1+Inputs!B18/100)^21)</f>
        <v/>
      </c>
      <c r="F23" s="33">
        <f>IF(21&lt;=Inputs!B15,1,0)*Inputs!B6*MAX(0,Inputs!B13-Inputs!B14*21)*Inputs!B20</f>
        <v/>
      </c>
      <c r="G23" s="33">
        <f>IF(21&lt;=Inputs!B15,1,0)*Inputs!B6*MAX(0,Inputs!B13-Inputs!B14*21)*Inputs!B20/((1+Inputs!B18/100)^(21-1))</f>
        <v/>
      </c>
      <c r="H23" s="45" t="n">
        <v>0</v>
      </c>
      <c r="I23" s="33">
        <f>IF(21&lt;=Inputs!B15,1,0)*Inputs!B19*Inputs!B4/((1+Inputs!B18/100)^(21-1))</f>
        <v/>
      </c>
      <c r="J23" s="35">
        <f>G23-I23-H23</f>
        <v/>
      </c>
      <c r="K23" s="35">
        <f>K22+J23</f>
        <v/>
      </c>
      <c r="L23" s="36">
        <f>IF(21&lt;=Inputs!B15,"Yes","")</f>
        <v/>
      </c>
    </row>
    <row r="24" ht="15" customHeight="1">
      <c r="A24" s="37" t="n">
        <v>22</v>
      </c>
      <c r="B24" s="38">
        <f>IF(22&lt;=Inputs!B15,1,0)*MAX(0,Inputs!B13-Inputs!B14*22)</f>
        <v/>
      </c>
      <c r="C24" s="39">
        <f>IF(22&lt;=Inputs!B15,1,0)*Inputs!B6*MAX(0,Inputs!B13-Inputs!B14*22)/1000</f>
        <v/>
      </c>
      <c r="D24" s="40">
        <f>IF(22&lt;=Inputs!B15,1,0)*Inputs!B6*MAX(0,Inputs!B13-Inputs!B14*22)/((1+Inputs!B18/100)^22)</f>
        <v/>
      </c>
      <c r="E24" s="41">
        <f>IF(22&lt;=Inputs!B15,1,0)*Inputs!B19*Inputs!B4/((1+Inputs!B18/100)^22)</f>
        <v/>
      </c>
      <c r="F24" s="41">
        <f>IF(22&lt;=Inputs!B15,1,0)*Inputs!B6*MAX(0,Inputs!B13-Inputs!B14*22)*Inputs!B20</f>
        <v/>
      </c>
      <c r="G24" s="41">
        <f>IF(22&lt;=Inputs!B15,1,0)*Inputs!B6*MAX(0,Inputs!B13-Inputs!B14*22)*Inputs!B20/((1+Inputs!B18/100)^(22-1))</f>
        <v/>
      </c>
      <c r="H24" s="42" t="n">
        <v>0</v>
      </c>
      <c r="I24" s="41">
        <f>IF(22&lt;=Inputs!B15,1,0)*Inputs!B19*Inputs!B4/((1+Inputs!B18/100)^(22-1))</f>
        <v/>
      </c>
      <c r="J24" s="43">
        <f>G24-I24-H24</f>
        <v/>
      </c>
      <c r="K24" s="43">
        <f>K23+J24</f>
        <v/>
      </c>
      <c r="L24" s="44">
        <f>IF(22&lt;=Inputs!B15,"Yes","")</f>
        <v/>
      </c>
    </row>
    <row r="25" ht="15" customHeight="1">
      <c r="A25" s="29" t="n">
        <v>23</v>
      </c>
      <c r="B25" s="30">
        <f>IF(23&lt;=Inputs!B15,1,0)*MAX(0,Inputs!B13-Inputs!B14*23)</f>
        <v/>
      </c>
      <c r="C25" s="31">
        <f>IF(23&lt;=Inputs!B15,1,0)*Inputs!B6*MAX(0,Inputs!B13-Inputs!B14*23)/1000</f>
        <v/>
      </c>
      <c r="D25" s="32">
        <f>IF(23&lt;=Inputs!B15,1,0)*Inputs!B6*MAX(0,Inputs!B13-Inputs!B14*23)/((1+Inputs!B18/100)^23)</f>
        <v/>
      </c>
      <c r="E25" s="33">
        <f>IF(23&lt;=Inputs!B15,1,0)*Inputs!B19*Inputs!B4/((1+Inputs!B18/100)^23)</f>
        <v/>
      </c>
      <c r="F25" s="33">
        <f>IF(23&lt;=Inputs!B15,1,0)*Inputs!B6*MAX(0,Inputs!B13-Inputs!B14*23)*Inputs!B20</f>
        <v/>
      </c>
      <c r="G25" s="33">
        <f>IF(23&lt;=Inputs!B15,1,0)*Inputs!B6*MAX(0,Inputs!B13-Inputs!B14*23)*Inputs!B20/((1+Inputs!B18/100)^(23-1))</f>
        <v/>
      </c>
      <c r="H25" s="45" t="n">
        <v>0</v>
      </c>
      <c r="I25" s="33">
        <f>IF(23&lt;=Inputs!B15,1,0)*Inputs!B19*Inputs!B4/((1+Inputs!B18/100)^(23-1))</f>
        <v/>
      </c>
      <c r="J25" s="35">
        <f>G25-I25-H25</f>
        <v/>
      </c>
      <c r="K25" s="35">
        <f>K24+J25</f>
        <v/>
      </c>
      <c r="L25" s="36">
        <f>IF(23&lt;=Inputs!B15,"Yes","")</f>
        <v/>
      </c>
    </row>
    <row r="26" ht="15" customHeight="1">
      <c r="A26" s="37" t="n">
        <v>24</v>
      </c>
      <c r="B26" s="38">
        <f>IF(24&lt;=Inputs!B15,1,0)*MAX(0,Inputs!B13-Inputs!B14*24)</f>
        <v/>
      </c>
      <c r="C26" s="39">
        <f>IF(24&lt;=Inputs!B15,1,0)*Inputs!B6*MAX(0,Inputs!B13-Inputs!B14*24)/1000</f>
        <v/>
      </c>
      <c r="D26" s="40">
        <f>IF(24&lt;=Inputs!B15,1,0)*Inputs!B6*MAX(0,Inputs!B13-Inputs!B14*24)/((1+Inputs!B18/100)^24)</f>
        <v/>
      </c>
      <c r="E26" s="41">
        <f>IF(24&lt;=Inputs!B15,1,0)*Inputs!B19*Inputs!B4/((1+Inputs!B18/100)^24)</f>
        <v/>
      </c>
      <c r="F26" s="41">
        <f>IF(24&lt;=Inputs!B15,1,0)*Inputs!B6*MAX(0,Inputs!B13-Inputs!B14*24)*Inputs!B20</f>
        <v/>
      </c>
      <c r="G26" s="41">
        <f>IF(24&lt;=Inputs!B15,1,0)*Inputs!B6*MAX(0,Inputs!B13-Inputs!B14*24)*Inputs!B20/((1+Inputs!B18/100)^(24-1))</f>
        <v/>
      </c>
      <c r="H26" s="42" t="n">
        <v>0</v>
      </c>
      <c r="I26" s="41">
        <f>IF(24&lt;=Inputs!B15,1,0)*Inputs!B19*Inputs!B4/((1+Inputs!B18/100)^(24-1))</f>
        <v/>
      </c>
      <c r="J26" s="43">
        <f>G26-I26-H26</f>
        <v/>
      </c>
      <c r="K26" s="43">
        <f>K25+J26</f>
        <v/>
      </c>
      <c r="L26" s="44">
        <f>IF(24&lt;=Inputs!B15,"Yes","")</f>
        <v/>
      </c>
    </row>
    <row r="27" ht="15" customHeight="1">
      <c r="A27" s="29" t="n">
        <v>25</v>
      </c>
      <c r="B27" s="30">
        <f>IF(25&lt;=Inputs!B15,1,0)*MAX(0,Inputs!B13-Inputs!B14*25)</f>
        <v/>
      </c>
      <c r="C27" s="31">
        <f>IF(25&lt;=Inputs!B15,1,0)*Inputs!B6*MAX(0,Inputs!B13-Inputs!B14*25)/1000</f>
        <v/>
      </c>
      <c r="D27" s="32">
        <f>IF(25&lt;=Inputs!B15,1,0)*Inputs!B6*MAX(0,Inputs!B13-Inputs!B14*25)/((1+Inputs!B18/100)^25)</f>
        <v/>
      </c>
      <c r="E27" s="33">
        <f>IF(25&lt;=Inputs!B15,1,0)*Inputs!B19*Inputs!B4/((1+Inputs!B18/100)^25)</f>
        <v/>
      </c>
      <c r="F27" s="33">
        <f>IF(25&lt;=Inputs!B15,1,0)*Inputs!B6*MAX(0,Inputs!B13-Inputs!B14*25)*Inputs!B20</f>
        <v/>
      </c>
      <c r="G27" s="33">
        <f>IF(25&lt;=Inputs!B15,1,0)*Inputs!B6*MAX(0,Inputs!B13-Inputs!B14*25)*Inputs!B20/((1+Inputs!B18/100)^(25-1))</f>
        <v/>
      </c>
      <c r="H27" s="45" t="n">
        <v>0</v>
      </c>
      <c r="I27" s="33">
        <f>IF(25&lt;=Inputs!B15,1,0)*Inputs!B19*Inputs!B4/((1+Inputs!B18/100)^(25-1))</f>
        <v/>
      </c>
      <c r="J27" s="35">
        <f>G27-I27-H27</f>
        <v/>
      </c>
      <c r="K27" s="35">
        <f>K26+J27</f>
        <v/>
      </c>
      <c r="L27" s="36">
        <f>IF(25&lt;=Inputs!B15,"Yes","")</f>
        <v/>
      </c>
    </row>
    <row r="28" ht="15" customHeight="1">
      <c r="A28" s="37" t="n">
        <v>26</v>
      </c>
      <c r="B28" s="38">
        <f>IF(26&lt;=Inputs!B15,1,0)*MAX(0,Inputs!B13-Inputs!B14*26)</f>
        <v/>
      </c>
      <c r="C28" s="39">
        <f>IF(26&lt;=Inputs!B15,1,0)*Inputs!B6*MAX(0,Inputs!B13-Inputs!B14*26)/1000</f>
        <v/>
      </c>
      <c r="D28" s="40">
        <f>IF(26&lt;=Inputs!B15,1,0)*Inputs!B6*MAX(0,Inputs!B13-Inputs!B14*26)/((1+Inputs!B18/100)^26)</f>
        <v/>
      </c>
      <c r="E28" s="41">
        <f>IF(26&lt;=Inputs!B15,1,0)*Inputs!B19*Inputs!B4/((1+Inputs!B18/100)^26)</f>
        <v/>
      </c>
      <c r="F28" s="41">
        <f>IF(26&lt;=Inputs!B15,1,0)*Inputs!B6*MAX(0,Inputs!B13-Inputs!B14*26)*Inputs!B20</f>
        <v/>
      </c>
      <c r="G28" s="41">
        <f>IF(26&lt;=Inputs!B15,1,0)*Inputs!B6*MAX(0,Inputs!B13-Inputs!B14*26)*Inputs!B20/((1+Inputs!B18/100)^(26-1))</f>
        <v/>
      </c>
      <c r="H28" s="42" t="n">
        <v>0</v>
      </c>
      <c r="I28" s="41">
        <f>IF(26&lt;=Inputs!B15,1,0)*Inputs!B19*Inputs!B4/((1+Inputs!B18/100)^(26-1))</f>
        <v/>
      </c>
      <c r="J28" s="43">
        <f>G28-I28-H28</f>
        <v/>
      </c>
      <c r="K28" s="43">
        <f>K27+J28</f>
        <v/>
      </c>
      <c r="L28" s="44">
        <f>IF(26&lt;=Inputs!B15,"Yes","")</f>
        <v/>
      </c>
    </row>
    <row r="29" ht="15" customHeight="1">
      <c r="A29" s="29" t="n">
        <v>27</v>
      </c>
      <c r="B29" s="30">
        <f>IF(27&lt;=Inputs!B15,1,0)*MAX(0,Inputs!B13-Inputs!B14*27)</f>
        <v/>
      </c>
      <c r="C29" s="31">
        <f>IF(27&lt;=Inputs!B15,1,0)*Inputs!B6*MAX(0,Inputs!B13-Inputs!B14*27)/1000</f>
        <v/>
      </c>
      <c r="D29" s="32">
        <f>IF(27&lt;=Inputs!B15,1,0)*Inputs!B6*MAX(0,Inputs!B13-Inputs!B14*27)/((1+Inputs!B18/100)^27)</f>
        <v/>
      </c>
      <c r="E29" s="33">
        <f>IF(27&lt;=Inputs!B15,1,0)*Inputs!B19*Inputs!B4/((1+Inputs!B18/100)^27)</f>
        <v/>
      </c>
      <c r="F29" s="33">
        <f>IF(27&lt;=Inputs!B15,1,0)*Inputs!B6*MAX(0,Inputs!B13-Inputs!B14*27)*Inputs!B20</f>
        <v/>
      </c>
      <c r="G29" s="33">
        <f>IF(27&lt;=Inputs!B15,1,0)*Inputs!B6*MAX(0,Inputs!B13-Inputs!B14*27)*Inputs!B20/((1+Inputs!B18/100)^(27-1))</f>
        <v/>
      </c>
      <c r="H29" s="45" t="n">
        <v>0</v>
      </c>
      <c r="I29" s="33">
        <f>IF(27&lt;=Inputs!B15,1,0)*Inputs!B19*Inputs!B4/((1+Inputs!B18/100)^(27-1))</f>
        <v/>
      </c>
      <c r="J29" s="35">
        <f>G29-I29-H29</f>
        <v/>
      </c>
      <c r="K29" s="35">
        <f>K28+J29</f>
        <v/>
      </c>
      <c r="L29" s="36">
        <f>IF(27&lt;=Inputs!B15,"Yes","")</f>
        <v/>
      </c>
    </row>
    <row r="30" ht="15" customHeight="1">
      <c r="A30" s="37" t="n">
        <v>28</v>
      </c>
      <c r="B30" s="38">
        <f>IF(28&lt;=Inputs!B15,1,0)*MAX(0,Inputs!B13-Inputs!B14*28)</f>
        <v/>
      </c>
      <c r="C30" s="39">
        <f>IF(28&lt;=Inputs!B15,1,0)*Inputs!B6*MAX(0,Inputs!B13-Inputs!B14*28)/1000</f>
        <v/>
      </c>
      <c r="D30" s="40">
        <f>IF(28&lt;=Inputs!B15,1,0)*Inputs!B6*MAX(0,Inputs!B13-Inputs!B14*28)/((1+Inputs!B18/100)^28)</f>
        <v/>
      </c>
      <c r="E30" s="41">
        <f>IF(28&lt;=Inputs!B15,1,0)*Inputs!B19*Inputs!B4/((1+Inputs!B18/100)^28)</f>
        <v/>
      </c>
      <c r="F30" s="41">
        <f>IF(28&lt;=Inputs!B15,1,0)*Inputs!B6*MAX(0,Inputs!B13-Inputs!B14*28)*Inputs!B20</f>
        <v/>
      </c>
      <c r="G30" s="41">
        <f>IF(28&lt;=Inputs!B15,1,0)*Inputs!B6*MAX(0,Inputs!B13-Inputs!B14*28)*Inputs!B20/((1+Inputs!B18/100)^(28-1))</f>
        <v/>
      </c>
      <c r="H30" s="42" t="n">
        <v>0</v>
      </c>
      <c r="I30" s="41">
        <f>IF(28&lt;=Inputs!B15,1,0)*Inputs!B19*Inputs!B4/((1+Inputs!B18/100)^(28-1))</f>
        <v/>
      </c>
      <c r="J30" s="43">
        <f>G30-I30-H30</f>
        <v/>
      </c>
      <c r="K30" s="43">
        <f>K29+J30</f>
        <v/>
      </c>
      <c r="L30" s="44">
        <f>IF(28&lt;=Inputs!B15,"Yes","")</f>
        <v/>
      </c>
    </row>
    <row r="31" ht="15" customHeight="1">
      <c r="A31" s="29" t="n">
        <v>29</v>
      </c>
      <c r="B31" s="30">
        <f>IF(29&lt;=Inputs!B15,1,0)*MAX(0,Inputs!B13-Inputs!B14*29)</f>
        <v/>
      </c>
      <c r="C31" s="31">
        <f>IF(29&lt;=Inputs!B15,1,0)*Inputs!B6*MAX(0,Inputs!B13-Inputs!B14*29)/1000</f>
        <v/>
      </c>
      <c r="D31" s="32">
        <f>IF(29&lt;=Inputs!B15,1,0)*Inputs!B6*MAX(0,Inputs!B13-Inputs!B14*29)/((1+Inputs!B18/100)^29)</f>
        <v/>
      </c>
      <c r="E31" s="33">
        <f>IF(29&lt;=Inputs!B15,1,0)*Inputs!B19*Inputs!B4/((1+Inputs!B18/100)^29)</f>
        <v/>
      </c>
      <c r="F31" s="33">
        <f>IF(29&lt;=Inputs!B15,1,0)*Inputs!B6*MAX(0,Inputs!B13-Inputs!B14*29)*Inputs!B20</f>
        <v/>
      </c>
      <c r="G31" s="33">
        <f>IF(29&lt;=Inputs!B15,1,0)*Inputs!B6*MAX(0,Inputs!B13-Inputs!B14*29)*Inputs!B20/((1+Inputs!B18/100)^(29-1))</f>
        <v/>
      </c>
      <c r="H31" s="45" t="n">
        <v>0</v>
      </c>
      <c r="I31" s="33">
        <f>IF(29&lt;=Inputs!B15,1,0)*Inputs!B19*Inputs!B4/((1+Inputs!B18/100)^(29-1))</f>
        <v/>
      </c>
      <c r="J31" s="35">
        <f>G31-I31-H31</f>
        <v/>
      </c>
      <c r="K31" s="35">
        <f>K30+J31</f>
        <v/>
      </c>
      <c r="L31" s="36">
        <f>IF(29&lt;=Inputs!B15,"Yes","")</f>
        <v/>
      </c>
    </row>
    <row r="32" ht="15" customHeight="1">
      <c r="A32" s="37" t="n">
        <v>30</v>
      </c>
      <c r="B32" s="38">
        <f>IF(30&lt;=Inputs!B15,1,0)*MAX(0,Inputs!B13-Inputs!B14*30)</f>
        <v/>
      </c>
      <c r="C32" s="39">
        <f>IF(30&lt;=Inputs!B15,1,0)*Inputs!B6*MAX(0,Inputs!B13-Inputs!B14*30)/1000</f>
        <v/>
      </c>
      <c r="D32" s="40">
        <f>IF(30&lt;=Inputs!B15,1,0)*Inputs!B6*MAX(0,Inputs!B13-Inputs!B14*30)/((1+Inputs!B18/100)^30)</f>
        <v/>
      </c>
      <c r="E32" s="41">
        <f>IF(30&lt;=Inputs!B15,1,0)*Inputs!B19*Inputs!B4/((1+Inputs!B18/100)^30)</f>
        <v/>
      </c>
      <c r="F32" s="41">
        <f>IF(30&lt;=Inputs!B15,1,0)*Inputs!B6*MAX(0,Inputs!B13-Inputs!B14*30)*Inputs!B20</f>
        <v/>
      </c>
      <c r="G32" s="41">
        <f>IF(30&lt;=Inputs!B15,1,0)*Inputs!B6*MAX(0,Inputs!B13-Inputs!B14*30)*Inputs!B20/((1+Inputs!B18/100)^(30-1))</f>
        <v/>
      </c>
      <c r="H32" s="42" t="n">
        <v>0</v>
      </c>
      <c r="I32" s="41">
        <f>IF(30&lt;=Inputs!B15,1,0)*Inputs!B19*Inputs!B4/((1+Inputs!B18/100)^(30-1))</f>
        <v/>
      </c>
      <c r="J32" s="43">
        <f>G32-I32-H32</f>
        <v/>
      </c>
      <c r="K32" s="43">
        <f>K31+J32</f>
        <v/>
      </c>
      <c r="L32" s="44">
        <f>IF(30&lt;=Inputs!B15,"Yes","")</f>
        <v/>
      </c>
    </row>
    <row r="33" ht="15" customHeight="1">
      <c r="A33" s="29" t="n">
        <v>31</v>
      </c>
      <c r="B33" s="30">
        <f>IF(31&lt;=Inputs!B15,1,0)*MAX(0,Inputs!B13-Inputs!B14*31)</f>
        <v/>
      </c>
      <c r="C33" s="31">
        <f>IF(31&lt;=Inputs!B15,1,0)*Inputs!B6*MAX(0,Inputs!B13-Inputs!B14*31)/1000</f>
        <v/>
      </c>
      <c r="D33" s="32">
        <f>IF(31&lt;=Inputs!B15,1,0)*Inputs!B6*MAX(0,Inputs!B13-Inputs!B14*31)/((1+Inputs!B18/100)^31)</f>
        <v/>
      </c>
      <c r="E33" s="33">
        <f>IF(31&lt;=Inputs!B15,1,0)*Inputs!B19*Inputs!B4/((1+Inputs!B18/100)^31)</f>
        <v/>
      </c>
      <c r="F33" s="33">
        <f>IF(31&lt;=Inputs!B15,1,0)*Inputs!B6*MAX(0,Inputs!B13-Inputs!B14*31)*Inputs!B20</f>
        <v/>
      </c>
      <c r="G33" s="33">
        <f>IF(31&lt;=Inputs!B15,1,0)*Inputs!B6*MAX(0,Inputs!B13-Inputs!B14*31)*Inputs!B20/((1+Inputs!B18/100)^(31-1))</f>
        <v/>
      </c>
      <c r="H33" s="45" t="n">
        <v>0</v>
      </c>
      <c r="I33" s="33">
        <f>IF(31&lt;=Inputs!B15,1,0)*Inputs!B19*Inputs!B4/((1+Inputs!B18/100)^(31-1))</f>
        <v/>
      </c>
      <c r="J33" s="35">
        <f>G33-I33-H33</f>
        <v/>
      </c>
      <c r="K33" s="35">
        <f>K32+J33</f>
        <v/>
      </c>
      <c r="L33" s="36">
        <f>IF(31&lt;=Inputs!B15,"Yes","")</f>
        <v/>
      </c>
    </row>
    <row r="34" ht="15" customHeight="1">
      <c r="A34" s="37" t="n">
        <v>32</v>
      </c>
      <c r="B34" s="38">
        <f>IF(32&lt;=Inputs!B15,1,0)*MAX(0,Inputs!B13-Inputs!B14*32)</f>
        <v/>
      </c>
      <c r="C34" s="39">
        <f>IF(32&lt;=Inputs!B15,1,0)*Inputs!B6*MAX(0,Inputs!B13-Inputs!B14*32)/1000</f>
        <v/>
      </c>
      <c r="D34" s="40">
        <f>IF(32&lt;=Inputs!B15,1,0)*Inputs!B6*MAX(0,Inputs!B13-Inputs!B14*32)/((1+Inputs!B18/100)^32)</f>
        <v/>
      </c>
      <c r="E34" s="41">
        <f>IF(32&lt;=Inputs!B15,1,0)*Inputs!B19*Inputs!B4/((1+Inputs!B18/100)^32)</f>
        <v/>
      </c>
      <c r="F34" s="41">
        <f>IF(32&lt;=Inputs!B15,1,0)*Inputs!B6*MAX(0,Inputs!B13-Inputs!B14*32)*Inputs!B20</f>
        <v/>
      </c>
      <c r="G34" s="41">
        <f>IF(32&lt;=Inputs!B15,1,0)*Inputs!B6*MAX(0,Inputs!B13-Inputs!B14*32)*Inputs!B20/((1+Inputs!B18/100)^(32-1))</f>
        <v/>
      </c>
      <c r="H34" s="42" t="n">
        <v>0</v>
      </c>
      <c r="I34" s="41">
        <f>IF(32&lt;=Inputs!B15,1,0)*Inputs!B19*Inputs!B4/((1+Inputs!B18/100)^(32-1))</f>
        <v/>
      </c>
      <c r="J34" s="43">
        <f>G34-I34-H34</f>
        <v/>
      </c>
      <c r="K34" s="43">
        <f>K33+J34</f>
        <v/>
      </c>
      <c r="L34" s="44">
        <f>IF(32&lt;=Inputs!B15,"Yes","")</f>
        <v/>
      </c>
    </row>
    <row r="35" ht="15" customHeight="1">
      <c r="A35" s="29" t="n">
        <v>33</v>
      </c>
      <c r="B35" s="30">
        <f>IF(33&lt;=Inputs!B15,1,0)*MAX(0,Inputs!B13-Inputs!B14*33)</f>
        <v/>
      </c>
      <c r="C35" s="31">
        <f>IF(33&lt;=Inputs!B15,1,0)*Inputs!B6*MAX(0,Inputs!B13-Inputs!B14*33)/1000</f>
        <v/>
      </c>
      <c r="D35" s="32">
        <f>IF(33&lt;=Inputs!B15,1,0)*Inputs!B6*MAX(0,Inputs!B13-Inputs!B14*33)/((1+Inputs!B18/100)^33)</f>
        <v/>
      </c>
      <c r="E35" s="33">
        <f>IF(33&lt;=Inputs!B15,1,0)*Inputs!B19*Inputs!B4/((1+Inputs!B18/100)^33)</f>
        <v/>
      </c>
      <c r="F35" s="33">
        <f>IF(33&lt;=Inputs!B15,1,0)*Inputs!B6*MAX(0,Inputs!B13-Inputs!B14*33)*Inputs!B20</f>
        <v/>
      </c>
      <c r="G35" s="33">
        <f>IF(33&lt;=Inputs!B15,1,0)*Inputs!B6*MAX(0,Inputs!B13-Inputs!B14*33)*Inputs!B20/((1+Inputs!B18/100)^(33-1))</f>
        <v/>
      </c>
      <c r="H35" s="45" t="n">
        <v>0</v>
      </c>
      <c r="I35" s="33">
        <f>IF(33&lt;=Inputs!B15,1,0)*Inputs!B19*Inputs!B4/((1+Inputs!B18/100)^(33-1))</f>
        <v/>
      </c>
      <c r="J35" s="35">
        <f>G35-I35-H35</f>
        <v/>
      </c>
      <c r="K35" s="35">
        <f>K34+J35</f>
        <v/>
      </c>
      <c r="L35" s="36">
        <f>IF(33&lt;=Inputs!B15,"Yes","")</f>
        <v/>
      </c>
    </row>
    <row r="36" ht="15" customHeight="1">
      <c r="A36" s="37" t="n">
        <v>34</v>
      </c>
      <c r="B36" s="38">
        <f>IF(34&lt;=Inputs!B15,1,0)*MAX(0,Inputs!B13-Inputs!B14*34)</f>
        <v/>
      </c>
      <c r="C36" s="39">
        <f>IF(34&lt;=Inputs!B15,1,0)*Inputs!B6*MAX(0,Inputs!B13-Inputs!B14*34)/1000</f>
        <v/>
      </c>
      <c r="D36" s="40">
        <f>IF(34&lt;=Inputs!B15,1,0)*Inputs!B6*MAX(0,Inputs!B13-Inputs!B14*34)/((1+Inputs!B18/100)^34)</f>
        <v/>
      </c>
      <c r="E36" s="41">
        <f>IF(34&lt;=Inputs!B15,1,0)*Inputs!B19*Inputs!B4/((1+Inputs!B18/100)^34)</f>
        <v/>
      </c>
      <c r="F36" s="41">
        <f>IF(34&lt;=Inputs!B15,1,0)*Inputs!B6*MAX(0,Inputs!B13-Inputs!B14*34)*Inputs!B20</f>
        <v/>
      </c>
      <c r="G36" s="41">
        <f>IF(34&lt;=Inputs!B15,1,0)*Inputs!B6*MAX(0,Inputs!B13-Inputs!B14*34)*Inputs!B20/((1+Inputs!B18/100)^(34-1))</f>
        <v/>
      </c>
      <c r="H36" s="42" t="n">
        <v>0</v>
      </c>
      <c r="I36" s="41">
        <f>IF(34&lt;=Inputs!B15,1,0)*Inputs!B19*Inputs!B4/((1+Inputs!B18/100)^(34-1))</f>
        <v/>
      </c>
      <c r="J36" s="43">
        <f>G36-I36-H36</f>
        <v/>
      </c>
      <c r="K36" s="43">
        <f>K35+J36</f>
        <v/>
      </c>
      <c r="L36" s="44">
        <f>IF(34&lt;=Inputs!B15,"Yes","")</f>
        <v/>
      </c>
    </row>
    <row r="37" ht="15" customHeight="1">
      <c r="A37" s="29" t="n">
        <v>35</v>
      </c>
      <c r="B37" s="30">
        <f>IF(35&lt;=Inputs!B15,1,0)*MAX(0,Inputs!B13-Inputs!B14*35)</f>
        <v/>
      </c>
      <c r="C37" s="31">
        <f>IF(35&lt;=Inputs!B15,1,0)*Inputs!B6*MAX(0,Inputs!B13-Inputs!B14*35)/1000</f>
        <v/>
      </c>
      <c r="D37" s="32">
        <f>IF(35&lt;=Inputs!B15,1,0)*Inputs!B6*MAX(0,Inputs!B13-Inputs!B14*35)/((1+Inputs!B18/100)^35)</f>
        <v/>
      </c>
      <c r="E37" s="33">
        <f>IF(35&lt;=Inputs!B15,1,0)*Inputs!B19*Inputs!B4/((1+Inputs!B18/100)^35)</f>
        <v/>
      </c>
      <c r="F37" s="33">
        <f>IF(35&lt;=Inputs!B15,1,0)*Inputs!B6*MAX(0,Inputs!B13-Inputs!B14*35)*Inputs!B20</f>
        <v/>
      </c>
      <c r="G37" s="33">
        <f>IF(35&lt;=Inputs!B15,1,0)*Inputs!B6*MAX(0,Inputs!B13-Inputs!B14*35)*Inputs!B20/((1+Inputs!B18/100)^(35-1))</f>
        <v/>
      </c>
      <c r="H37" s="45" t="n">
        <v>0</v>
      </c>
      <c r="I37" s="33">
        <f>IF(35&lt;=Inputs!B15,1,0)*Inputs!B19*Inputs!B4/((1+Inputs!B18/100)^(35-1))</f>
        <v/>
      </c>
      <c r="J37" s="35">
        <f>G37-I37-H37</f>
        <v/>
      </c>
      <c r="K37" s="35">
        <f>K36+J37</f>
        <v/>
      </c>
      <c r="L37" s="36">
        <f>IF(35&lt;=Inputs!B15,"Yes","")</f>
        <v/>
      </c>
    </row>
    <row r="38" ht="15" customHeight="1">
      <c r="A38" s="37" t="n">
        <v>36</v>
      </c>
      <c r="B38" s="38">
        <f>IF(36&lt;=Inputs!B15,1,0)*MAX(0,Inputs!B13-Inputs!B14*36)</f>
        <v/>
      </c>
      <c r="C38" s="39">
        <f>IF(36&lt;=Inputs!B15,1,0)*Inputs!B6*MAX(0,Inputs!B13-Inputs!B14*36)/1000</f>
        <v/>
      </c>
      <c r="D38" s="40">
        <f>IF(36&lt;=Inputs!B15,1,0)*Inputs!B6*MAX(0,Inputs!B13-Inputs!B14*36)/((1+Inputs!B18/100)^36)</f>
        <v/>
      </c>
      <c r="E38" s="41">
        <f>IF(36&lt;=Inputs!B15,1,0)*Inputs!B19*Inputs!B4/((1+Inputs!B18/100)^36)</f>
        <v/>
      </c>
      <c r="F38" s="41">
        <f>IF(36&lt;=Inputs!B15,1,0)*Inputs!B6*MAX(0,Inputs!B13-Inputs!B14*36)*Inputs!B20</f>
        <v/>
      </c>
      <c r="G38" s="41">
        <f>IF(36&lt;=Inputs!B15,1,0)*Inputs!B6*MAX(0,Inputs!B13-Inputs!B14*36)*Inputs!B20/((1+Inputs!B18/100)^(36-1))</f>
        <v/>
      </c>
      <c r="H38" s="42" t="n">
        <v>0</v>
      </c>
      <c r="I38" s="41">
        <f>IF(36&lt;=Inputs!B15,1,0)*Inputs!B19*Inputs!B4/((1+Inputs!B18/100)^(36-1))</f>
        <v/>
      </c>
      <c r="J38" s="43">
        <f>G38-I38-H38</f>
        <v/>
      </c>
      <c r="K38" s="43">
        <f>K37+J38</f>
        <v/>
      </c>
      <c r="L38" s="44">
        <f>IF(36&lt;=Inputs!B15,"Yes","")</f>
        <v/>
      </c>
    </row>
    <row r="39" ht="15" customHeight="1">
      <c r="A39" s="29" t="n">
        <v>37</v>
      </c>
      <c r="B39" s="30">
        <f>IF(37&lt;=Inputs!B15,1,0)*MAX(0,Inputs!B13-Inputs!B14*37)</f>
        <v/>
      </c>
      <c r="C39" s="31">
        <f>IF(37&lt;=Inputs!B15,1,0)*Inputs!B6*MAX(0,Inputs!B13-Inputs!B14*37)/1000</f>
        <v/>
      </c>
      <c r="D39" s="32">
        <f>IF(37&lt;=Inputs!B15,1,0)*Inputs!B6*MAX(0,Inputs!B13-Inputs!B14*37)/((1+Inputs!B18/100)^37)</f>
        <v/>
      </c>
      <c r="E39" s="33">
        <f>IF(37&lt;=Inputs!B15,1,0)*Inputs!B19*Inputs!B4/((1+Inputs!B18/100)^37)</f>
        <v/>
      </c>
      <c r="F39" s="33">
        <f>IF(37&lt;=Inputs!B15,1,0)*Inputs!B6*MAX(0,Inputs!B13-Inputs!B14*37)*Inputs!B20</f>
        <v/>
      </c>
      <c r="G39" s="33">
        <f>IF(37&lt;=Inputs!B15,1,0)*Inputs!B6*MAX(0,Inputs!B13-Inputs!B14*37)*Inputs!B20/((1+Inputs!B18/100)^(37-1))</f>
        <v/>
      </c>
      <c r="H39" s="45" t="n">
        <v>0</v>
      </c>
      <c r="I39" s="33">
        <f>IF(37&lt;=Inputs!B15,1,0)*Inputs!B19*Inputs!B4/((1+Inputs!B18/100)^(37-1))</f>
        <v/>
      </c>
      <c r="J39" s="35">
        <f>G39-I39-H39</f>
        <v/>
      </c>
      <c r="K39" s="35">
        <f>K38+J39</f>
        <v/>
      </c>
      <c r="L39" s="36">
        <f>IF(37&lt;=Inputs!B15,"Yes","")</f>
        <v/>
      </c>
    </row>
    <row r="40" ht="15" customHeight="1">
      <c r="A40" s="37" t="n">
        <v>38</v>
      </c>
      <c r="B40" s="38">
        <f>IF(38&lt;=Inputs!B15,1,0)*MAX(0,Inputs!B13-Inputs!B14*38)</f>
        <v/>
      </c>
      <c r="C40" s="39">
        <f>IF(38&lt;=Inputs!B15,1,0)*Inputs!B6*MAX(0,Inputs!B13-Inputs!B14*38)/1000</f>
        <v/>
      </c>
      <c r="D40" s="40">
        <f>IF(38&lt;=Inputs!B15,1,0)*Inputs!B6*MAX(0,Inputs!B13-Inputs!B14*38)/((1+Inputs!B18/100)^38)</f>
        <v/>
      </c>
      <c r="E40" s="41">
        <f>IF(38&lt;=Inputs!B15,1,0)*Inputs!B19*Inputs!B4/((1+Inputs!B18/100)^38)</f>
        <v/>
      </c>
      <c r="F40" s="41">
        <f>IF(38&lt;=Inputs!B15,1,0)*Inputs!B6*MAX(0,Inputs!B13-Inputs!B14*38)*Inputs!B20</f>
        <v/>
      </c>
      <c r="G40" s="41">
        <f>IF(38&lt;=Inputs!B15,1,0)*Inputs!B6*MAX(0,Inputs!B13-Inputs!B14*38)*Inputs!B20/((1+Inputs!B18/100)^(38-1))</f>
        <v/>
      </c>
      <c r="H40" s="42" t="n">
        <v>0</v>
      </c>
      <c r="I40" s="41">
        <f>IF(38&lt;=Inputs!B15,1,0)*Inputs!B19*Inputs!B4/((1+Inputs!B18/100)^(38-1))</f>
        <v/>
      </c>
      <c r="J40" s="43">
        <f>G40-I40-H40</f>
        <v/>
      </c>
      <c r="K40" s="43">
        <f>K39+J40</f>
        <v/>
      </c>
      <c r="L40" s="44">
        <f>IF(38&lt;=Inputs!B15,"Yes","")</f>
        <v/>
      </c>
    </row>
    <row r="41" ht="15" customHeight="1">
      <c r="A41" s="29" t="n">
        <v>39</v>
      </c>
      <c r="B41" s="30">
        <f>IF(39&lt;=Inputs!B15,1,0)*MAX(0,Inputs!B13-Inputs!B14*39)</f>
        <v/>
      </c>
      <c r="C41" s="31">
        <f>IF(39&lt;=Inputs!B15,1,0)*Inputs!B6*MAX(0,Inputs!B13-Inputs!B14*39)/1000</f>
        <v/>
      </c>
      <c r="D41" s="32">
        <f>IF(39&lt;=Inputs!B15,1,0)*Inputs!B6*MAX(0,Inputs!B13-Inputs!B14*39)/((1+Inputs!B18/100)^39)</f>
        <v/>
      </c>
      <c r="E41" s="33">
        <f>IF(39&lt;=Inputs!B15,1,0)*Inputs!B19*Inputs!B4/((1+Inputs!B18/100)^39)</f>
        <v/>
      </c>
      <c r="F41" s="33">
        <f>IF(39&lt;=Inputs!B15,1,0)*Inputs!B6*MAX(0,Inputs!B13-Inputs!B14*39)*Inputs!B20</f>
        <v/>
      </c>
      <c r="G41" s="33">
        <f>IF(39&lt;=Inputs!B15,1,0)*Inputs!B6*MAX(0,Inputs!B13-Inputs!B14*39)*Inputs!B20/((1+Inputs!B18/100)^(39-1))</f>
        <v/>
      </c>
      <c r="H41" s="45" t="n">
        <v>0</v>
      </c>
      <c r="I41" s="33">
        <f>IF(39&lt;=Inputs!B15,1,0)*Inputs!B19*Inputs!B4/((1+Inputs!B18/100)^(39-1))</f>
        <v/>
      </c>
      <c r="J41" s="35">
        <f>G41-I41-H41</f>
        <v/>
      </c>
      <c r="K41" s="35">
        <f>K40+J41</f>
        <v/>
      </c>
      <c r="L41" s="36">
        <f>IF(39&lt;=Inputs!B15,"Yes","")</f>
        <v/>
      </c>
    </row>
    <row r="42" ht="15" customHeight="1">
      <c r="A42" s="37" t="n">
        <v>40</v>
      </c>
      <c r="B42" s="38">
        <f>IF(40&lt;=Inputs!B15,1,0)*MAX(0,Inputs!B13-Inputs!B14*40)</f>
        <v/>
      </c>
      <c r="C42" s="39">
        <f>IF(40&lt;=Inputs!B15,1,0)*Inputs!B6*MAX(0,Inputs!B13-Inputs!B14*40)/1000</f>
        <v/>
      </c>
      <c r="D42" s="40">
        <f>IF(40&lt;=Inputs!B15,1,0)*Inputs!B6*MAX(0,Inputs!B13-Inputs!B14*40)/((1+Inputs!B18/100)^40)</f>
        <v/>
      </c>
      <c r="E42" s="41">
        <f>IF(40&lt;=Inputs!B15,1,0)*Inputs!B19*Inputs!B4/((1+Inputs!B18/100)^40)</f>
        <v/>
      </c>
      <c r="F42" s="41">
        <f>IF(40&lt;=Inputs!B15,1,0)*Inputs!B6*MAX(0,Inputs!B13-Inputs!B14*40)*Inputs!B20</f>
        <v/>
      </c>
      <c r="G42" s="41">
        <f>IF(40&lt;=Inputs!B15,1,0)*Inputs!B6*MAX(0,Inputs!B13-Inputs!B14*40)*Inputs!B20/((1+Inputs!B18/100)^(40-1))</f>
        <v/>
      </c>
      <c r="H42" s="42" t="n">
        <v>0</v>
      </c>
      <c r="I42" s="41">
        <f>IF(40&lt;=Inputs!B15,1,0)*Inputs!B19*Inputs!B4/((1+Inputs!B18/100)^(40-1))</f>
        <v/>
      </c>
      <c r="J42" s="43">
        <f>G42-I42-H42</f>
        <v/>
      </c>
      <c r="K42" s="43">
        <f>K41+J42</f>
        <v/>
      </c>
      <c r="L42" s="44">
        <f>IF(40&lt;=Inputs!B15,"Yes","")</f>
        <v/>
      </c>
    </row>
    <row r="43" ht="20" customHeight="1">
      <c r="A43" s="46" t="inlineStr">
        <is>
          <t>TOTALS</t>
        </is>
      </c>
      <c r="B43" s="47">
        <f>SUM(B3:B42)</f>
        <v/>
      </c>
      <c r="C43" s="48">
        <f>SUM(C3:C42)</f>
        <v/>
      </c>
      <c r="D43" s="49">
        <f>SUM(D3:D42)</f>
        <v/>
      </c>
      <c r="E43" s="50">
        <f>SUM(E3:E42)</f>
        <v/>
      </c>
      <c r="F43" s="50">
        <f>SUM(F3:F42)</f>
        <v/>
      </c>
      <c r="G43" s="50">
        <f>SUM(G3:G42)</f>
        <v/>
      </c>
      <c r="H43" s="51" t="inlineStr">
        <is>
          <t>—</t>
        </is>
      </c>
      <c r="I43" s="51" t="inlineStr">
        <is>
          <t>—</t>
        </is>
      </c>
      <c r="J43" s="51" t="inlineStr">
        <is>
          <t>—</t>
        </is>
      </c>
      <c r="K43" s="51" t="inlineStr">
        <is>
          <t>—</t>
        </is>
      </c>
      <c r="L43" s="52" t="inlineStr"/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1"/>
  <sheetViews>
    <sheetView showGridLines="0" workbookViewId="0">
      <selection activeCell="A1" sqref="A1"/>
    </sheetView>
  </sheetViews>
  <sheetFormatPr baseColWidth="8" defaultRowHeight="15"/>
  <cols>
    <col width="33" customWidth="1" min="1" max="1"/>
    <col width="20" customWidth="1" min="2" max="2"/>
    <col width="14" customWidth="1" min="3" max="3"/>
    <col width="34" customWidth="1" min="4" max="4"/>
  </cols>
  <sheetData>
    <row r="1" ht="30" customHeight="1">
      <c r="A1" s="1" t="inlineStr">
        <is>
          <t>LCOE RESULTS — KEY PERFORMANCE INDICATORS</t>
        </is>
      </c>
    </row>
    <row r="2" ht="36" customHeight="1">
      <c r="A2" s="2" t="inlineStr">
        <is>
          <t>Metric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 ht="20" customHeight="1">
      <c r="A3" s="3" t="inlineStr">
        <is>
          <t>PRIMARY OUTPUT — LEVELIZED COST OF ENERGY (LCOE)</t>
        </is>
      </c>
    </row>
    <row r="4" ht="24" customHeight="1">
      <c r="A4" s="53" t="inlineStr">
        <is>
          <t>LCOE</t>
        </is>
      </c>
      <c r="B4" s="54">
        <f>(CAPEX!D31+SUM(Schedule!E3:E42))/(Inputs!B6+SUM(Schedule!D3:D42))</f>
        <v/>
      </c>
      <c r="C4" s="55" t="inlineStr">
        <is>
          <t>$/kWh</t>
        </is>
      </c>
      <c r="D4" s="56" t="inlineStr">
        <is>
          <t>Discounted lifetime cost divided by discounted lifetime energy</t>
        </is>
      </c>
    </row>
    <row r="5" ht="18" customHeight="1">
      <c r="A5" s="4" t="inlineStr">
        <is>
          <t>LCOE ($/MWh)</t>
        </is>
      </c>
      <c r="B5" s="57">
        <f>B4*1000</f>
        <v/>
      </c>
      <c r="C5" s="6" t="inlineStr">
        <is>
          <t>$/MWh</t>
        </is>
      </c>
      <c r="D5" s="7" t="inlineStr">
        <is>
          <t>LCOE × 1 000</t>
        </is>
      </c>
    </row>
    <row r="6" ht="18" customHeight="1">
      <c r="A6" s="58" t="inlineStr">
        <is>
          <t>LCOE Rating</t>
        </is>
      </c>
      <c r="B6" s="59">
        <f>IF(B4&lt;Inputs!B23,"✓ Excellent",IF(B4&lt;=Inputs!B24,"~ Acceptable","✗ Low"))</f>
        <v/>
      </c>
      <c r="C6" s="6" t="inlineStr">
        <is>
          <t>—</t>
        </is>
      </c>
      <c r="D6" s="7" t="inlineStr">
        <is>
          <t>Excellent &lt; 0.034 $/kWh  |  Acceptable ≤ 0.045  |  Low &gt; 0.045</t>
        </is>
      </c>
    </row>
    <row r="8" ht="20" customHeight="1">
      <c r="A8" s="3" t="inlineStr">
        <is>
          <t>CAPITAL EXPENDITURE</t>
        </is>
      </c>
    </row>
    <row r="9" ht="18" customHeight="1">
      <c r="A9" s="58" t="inlineStr">
        <is>
          <t>Total CAPEX ($)</t>
        </is>
      </c>
      <c r="B9" s="60">
        <f>CAPEX!D31</f>
        <v/>
      </c>
      <c r="C9" s="6" t="inlineStr">
        <is>
          <t>$</t>
        </is>
      </c>
      <c r="D9" s="7" t="inlineStr">
        <is>
          <t>Upfront capital expenditure</t>
        </is>
      </c>
    </row>
    <row r="10" ht="18" customHeight="1">
      <c r="A10" s="4" t="inlineStr">
        <is>
          <t>CAPEX per kWp ($/kWp)</t>
        </is>
      </c>
      <c r="B10" s="61">
        <f>CAPEX!C31</f>
        <v/>
      </c>
      <c r="C10" s="6" t="inlineStr">
        <is>
          <t>$/kWp</t>
        </is>
      </c>
      <c r="D10" s="7" t="inlineStr">
        <is>
          <t>Specific capital cost</t>
        </is>
      </c>
    </row>
    <row r="12" ht="20" customHeight="1">
      <c r="A12" s="3" t="inlineStr">
        <is>
          <t>ENERGY PRODUCTION</t>
        </is>
      </c>
    </row>
    <row r="13" ht="18" customHeight="1">
      <c r="A13" s="4" t="inlineStr">
        <is>
          <t>Capacity Factor (%)</t>
        </is>
      </c>
      <c r="B13" s="15">
        <f>Inputs!B6/(Inputs!B4*8760)*100</f>
        <v/>
      </c>
      <c r="C13" s="6" t="inlineStr">
        <is>
          <t>%</t>
        </is>
      </c>
      <c r="D13" s="7" t="inlineStr">
        <is>
          <t>Annual energy / (Capacity × 8 760 h)</t>
        </is>
      </c>
    </row>
    <row r="14" ht="18" customHeight="1">
      <c r="A14" s="4" t="inlineStr">
        <is>
          <t>Lifetime Energy Production</t>
        </is>
      </c>
      <c r="B14" s="62">
        <f>Inputs!B6/1000+SUM(Schedule!C3:C42)</f>
        <v/>
      </c>
      <c r="C14" s="6" t="inlineStr">
        <is>
          <t>MWh</t>
        </is>
      </c>
      <c r="D14" s="7" t="inlineStr">
        <is>
          <t>Total energy over project lifetime (incl. degradation)</t>
        </is>
      </c>
    </row>
    <row r="15" ht="18" customHeight="1">
      <c r="A15" s="4" t="inlineStr">
        <is>
          <t>O&amp;M NPV (Σ Discounted O&amp;M)</t>
        </is>
      </c>
      <c r="B15" s="14">
        <f>SUM(Schedule!E3:E42)</f>
        <v/>
      </c>
      <c r="C15" s="6" t="inlineStr">
        <is>
          <t>$</t>
        </is>
      </c>
      <c r="D15" s="7" t="inlineStr">
        <is>
          <t>Net present value of all annual O&amp;M costs</t>
        </is>
      </c>
    </row>
    <row r="17" ht="20" customHeight="1">
      <c r="A17" s="3" t="inlineStr">
        <is>
          <t>FINANCIAL INDICATORS</t>
        </is>
      </c>
    </row>
    <row r="18" ht="18" customHeight="1">
      <c r="A18" s="4" t="inlineStr">
        <is>
          <t>Year-1 Revenue ($)</t>
        </is>
      </c>
      <c r="B18" s="63">
        <f>Inputs!B6*Inputs!B13*Inputs!B20</f>
        <v/>
      </c>
      <c r="C18" s="6" t="inlineStr">
        <is>
          <t>$</t>
        </is>
      </c>
      <c r="D18" s="7" t="inlineStr">
        <is>
          <t>E₀ × f₁ × tariff  (first year, undiscounted)</t>
        </is>
      </c>
    </row>
    <row r="19" ht="18" customHeight="1">
      <c r="A19" s="4" t="inlineStr">
        <is>
          <t>Annual O&amp;M Cost ($/yr)</t>
        </is>
      </c>
      <c r="B19" s="63">
        <f>Inputs!B19*Inputs!B4</f>
        <v/>
      </c>
      <c r="C19" s="6" t="inlineStr">
        <is>
          <t>$/yr</t>
        </is>
      </c>
      <c r="D19" s="7" t="inlineStr">
        <is>
          <t>O&amp;M ($/kWp/yr) × system capacity</t>
        </is>
      </c>
    </row>
    <row r="20" ht="18" customHeight="1">
      <c r="A20" s="4" t="inlineStr">
        <is>
          <t>Simple Payback Period</t>
        </is>
      </c>
      <c r="B20" s="64">
        <f>IF(Inputs!B6*Inputs!B13*Inputs!B20&gt;Inputs!B19*Inputs!B4,CAPEX!D31/(Inputs!B6*Inputs!B13*Inputs!B20-Inputs!B19*Inputs!B4),"N/A")</f>
        <v/>
      </c>
      <c r="C20" s="6" t="inlineStr">
        <is>
          <t>years</t>
        </is>
      </c>
      <c r="D20" s="7" t="inlineStr">
        <is>
          <t>CAPEX / (Year-1 Revenue − O&amp;M)  — undiscounted</t>
        </is>
      </c>
    </row>
    <row r="21" ht="18" customHeight="1">
      <c r="A21" s="4" t="inlineStr">
        <is>
          <t>Discounted Payback (TRI)</t>
        </is>
      </c>
      <c r="B21" s="64">
        <f>IFERROR(  (MATCH(TRUE,Schedule!K3:K42&gt;=0,0)-1)  + ABS(INDEX(Schedule!K3:K42,MATCH(TRUE,Schedule!K3:K42&gt;=0,0)-1))    / INDEX(Schedule!J3:J42,MATCH(TRUE,Schedule!K3:K42&gt;=0,0)),"N/A")</f>
        <v/>
      </c>
      <c r="C21" s="6" t="inlineStr">
        <is>
          <t>years</t>
        </is>
      </c>
      <c r="D21" s="7" t="inlineStr">
        <is>
          <t>Year when cumulative discounted cash flow crosses zero</t>
        </is>
      </c>
    </row>
    <row r="22" ht="18" customHeight="1">
      <c r="A22" s="4" t="inlineStr">
        <is>
          <t>Project NPV (at WACC)</t>
        </is>
      </c>
      <c r="B22" s="63">
        <f>INDEX(Schedule!K3:K42,MIN(Inputs!B15,40))</f>
        <v/>
      </c>
      <c r="C22" s="6" t="inlineStr">
        <is>
          <t>$</t>
        </is>
      </c>
      <c r="D22" s="7" t="inlineStr">
        <is>
          <t>Cumulative discounted CF at end of project lifetime</t>
        </is>
      </c>
    </row>
    <row r="23" ht="18" customHeight="1">
      <c r="A23" s="4" t="inlineStr">
        <is>
          <t>Project IRR</t>
        </is>
      </c>
      <c r="B23" s="65">
        <f>IFERROR(IRR(F81:F121,0.05)*100,"N/A")</f>
        <v/>
      </c>
      <c r="C23" s="6" t="inlineStr">
        <is>
          <t>%</t>
        </is>
      </c>
      <c r="D23" s="7" t="inlineStr">
        <is>
          <t>Internal rate of return on undiscounted net cash flows</t>
        </is>
      </c>
    </row>
    <row r="25" ht="20" customHeight="1">
      <c r="A25" s="3" t="inlineStr">
        <is>
          <t>CAPEX BREAKDOWN BY CATEGORY</t>
        </is>
      </c>
    </row>
    <row r="26" ht="18" customHeight="1">
      <c r="A26" s="66" t="inlineStr">
        <is>
          <t>Category</t>
        </is>
      </c>
      <c r="B26" s="66" t="inlineStr">
        <is>
          <t>$/kWp</t>
        </is>
      </c>
      <c r="C26" s="66" t="inlineStr">
        <is>
          <t>Total ($)</t>
        </is>
      </c>
      <c r="D26" s="66" t="inlineStr">
        <is>
          <t>% of CAPEX</t>
        </is>
      </c>
    </row>
    <row r="27" ht="18" customHeight="1">
      <c r="A27" s="67" t="inlineStr">
        <is>
          <t>Module &amp; Inverter Hardware</t>
        </is>
      </c>
      <c r="B27" s="68">
        <f>CAPEX!C6</f>
        <v/>
      </c>
      <c r="C27" s="69">
        <f>CAPEX!D6</f>
        <v/>
      </c>
      <c r="D27" s="70">
        <f>IF(CAPEX!C31=0,0,CAPEX!C6/CAPEX!C31)</f>
        <v/>
      </c>
    </row>
    <row r="28" ht="18" customHeight="1">
      <c r="A28" s="67" t="inlineStr">
        <is>
          <t>Balance of System (BOS)</t>
        </is>
      </c>
      <c r="B28" s="68">
        <f>CAPEX!C14</f>
        <v/>
      </c>
      <c r="C28" s="69">
        <f>CAPEX!D14</f>
        <v/>
      </c>
      <c r="D28" s="70">
        <f>IF(CAPEX!C31=0,0,CAPEX!C14/CAPEX!C31)</f>
        <v/>
      </c>
    </row>
    <row r="29" ht="18" customHeight="1">
      <c r="A29" s="67" t="inlineStr">
        <is>
          <t>Installation</t>
        </is>
      </c>
      <c r="B29" s="68">
        <f>CAPEX!C20</f>
        <v/>
      </c>
      <c r="C29" s="69">
        <f>CAPEX!D20</f>
        <v/>
      </c>
      <c r="D29" s="70">
        <f>IF(CAPEX!C31=0,0,CAPEX!C20/CAPEX!C31)</f>
        <v/>
      </c>
    </row>
    <row r="30" ht="18" customHeight="1">
      <c r="A30" s="67" t="inlineStr">
        <is>
          <t>Soft Costs</t>
        </is>
      </c>
      <c r="B30" s="68">
        <f>CAPEX!C29</f>
        <v/>
      </c>
      <c r="C30" s="69">
        <f>CAPEX!D29</f>
        <v/>
      </c>
      <c r="D30" s="70">
        <f>IF(CAPEX!C31=0,0,CAPEX!C29/CAPEX!C31)</f>
        <v/>
      </c>
    </row>
    <row r="80">
      <c r="F80" s="71" t="inlineStr">
        <is>
          <t>IRR helper — do not edit</t>
        </is>
      </c>
    </row>
    <row r="81">
      <c r="F81">
        <f>-CAPEX!D31</f>
        <v/>
      </c>
    </row>
    <row r="82">
      <c r="F82">
        <f>IF(1&lt;=Inputs!B15,Schedule!F3-Inputs!B19*Inputs!B4,0)</f>
        <v/>
      </c>
    </row>
    <row r="83">
      <c r="F83">
        <f>IF(2&lt;=Inputs!B15,Schedule!F4-Inputs!B19*Inputs!B4,0)</f>
        <v/>
      </c>
    </row>
    <row r="84">
      <c r="F84">
        <f>IF(3&lt;=Inputs!B15,Schedule!F5-Inputs!B19*Inputs!B4,0)</f>
        <v/>
      </c>
    </row>
    <row r="85">
      <c r="F85">
        <f>IF(4&lt;=Inputs!B15,Schedule!F6-Inputs!B19*Inputs!B4,0)</f>
        <v/>
      </c>
    </row>
    <row r="86">
      <c r="F86">
        <f>IF(5&lt;=Inputs!B15,Schedule!F7-Inputs!B19*Inputs!B4,0)</f>
        <v/>
      </c>
    </row>
    <row r="87">
      <c r="F87">
        <f>IF(6&lt;=Inputs!B15,Schedule!F8-Inputs!B19*Inputs!B4,0)</f>
        <v/>
      </c>
    </row>
    <row r="88">
      <c r="F88">
        <f>IF(7&lt;=Inputs!B15,Schedule!F9-Inputs!B19*Inputs!B4,0)</f>
        <v/>
      </c>
    </row>
    <row r="89">
      <c r="F89">
        <f>IF(8&lt;=Inputs!B15,Schedule!F10-Inputs!B19*Inputs!B4,0)</f>
        <v/>
      </c>
    </row>
    <row r="90">
      <c r="F90">
        <f>IF(9&lt;=Inputs!B15,Schedule!F11-Inputs!B19*Inputs!B4,0)</f>
        <v/>
      </c>
    </row>
    <row r="91">
      <c r="F91">
        <f>IF(10&lt;=Inputs!B15,Schedule!F12-Inputs!B19*Inputs!B4,0)</f>
        <v/>
      </c>
    </row>
    <row r="92">
      <c r="F92">
        <f>IF(11&lt;=Inputs!B15,Schedule!F13-Inputs!B19*Inputs!B4,0)</f>
        <v/>
      </c>
    </row>
    <row r="93">
      <c r="F93">
        <f>IF(12&lt;=Inputs!B15,Schedule!F14-Inputs!B19*Inputs!B4,0)</f>
        <v/>
      </c>
    </row>
    <row r="94">
      <c r="F94">
        <f>IF(13&lt;=Inputs!B15,Schedule!F15-Inputs!B19*Inputs!B4,0)</f>
        <v/>
      </c>
    </row>
    <row r="95">
      <c r="F95">
        <f>IF(14&lt;=Inputs!B15,Schedule!F16-Inputs!B19*Inputs!B4,0)</f>
        <v/>
      </c>
    </row>
    <row r="96">
      <c r="F96">
        <f>IF(15&lt;=Inputs!B15,Schedule!F17-Inputs!B19*Inputs!B4,0)</f>
        <v/>
      </c>
    </row>
    <row r="97">
      <c r="F97">
        <f>IF(16&lt;=Inputs!B15,Schedule!F18-Inputs!B19*Inputs!B4,0)</f>
        <v/>
      </c>
    </row>
    <row r="98">
      <c r="F98">
        <f>IF(17&lt;=Inputs!B15,Schedule!F19-Inputs!B19*Inputs!B4,0)</f>
        <v/>
      </c>
    </row>
    <row r="99">
      <c r="F99">
        <f>IF(18&lt;=Inputs!B15,Schedule!F20-Inputs!B19*Inputs!B4,0)</f>
        <v/>
      </c>
    </row>
    <row r="100">
      <c r="F100">
        <f>IF(19&lt;=Inputs!B15,Schedule!F21-Inputs!B19*Inputs!B4,0)</f>
        <v/>
      </c>
    </row>
    <row r="101">
      <c r="F101">
        <f>IF(20&lt;=Inputs!B15,Schedule!F22-Inputs!B19*Inputs!B4,0)</f>
        <v/>
      </c>
    </row>
    <row r="102">
      <c r="F102">
        <f>IF(21&lt;=Inputs!B15,Schedule!F23-Inputs!B19*Inputs!B4,0)</f>
        <v/>
      </c>
    </row>
    <row r="103">
      <c r="F103">
        <f>IF(22&lt;=Inputs!B15,Schedule!F24-Inputs!B19*Inputs!B4,0)</f>
        <v/>
      </c>
    </row>
    <row r="104">
      <c r="F104">
        <f>IF(23&lt;=Inputs!B15,Schedule!F25-Inputs!B19*Inputs!B4,0)</f>
        <v/>
      </c>
    </row>
    <row r="105">
      <c r="F105">
        <f>IF(24&lt;=Inputs!B15,Schedule!F26-Inputs!B19*Inputs!B4,0)</f>
        <v/>
      </c>
    </row>
    <row r="106">
      <c r="F106">
        <f>IF(25&lt;=Inputs!B15,Schedule!F27-Inputs!B19*Inputs!B4,0)</f>
        <v/>
      </c>
    </row>
    <row r="107">
      <c r="F107">
        <f>IF(26&lt;=Inputs!B15,Schedule!F28-Inputs!B19*Inputs!B4,0)</f>
        <v/>
      </c>
    </row>
    <row r="108">
      <c r="F108">
        <f>IF(27&lt;=Inputs!B15,Schedule!F29-Inputs!B19*Inputs!B4,0)</f>
        <v/>
      </c>
    </row>
    <row r="109">
      <c r="F109">
        <f>IF(28&lt;=Inputs!B15,Schedule!F30-Inputs!B19*Inputs!B4,0)</f>
        <v/>
      </c>
    </row>
    <row r="110">
      <c r="F110">
        <f>IF(29&lt;=Inputs!B15,Schedule!F31-Inputs!B19*Inputs!B4,0)</f>
        <v/>
      </c>
    </row>
    <row r="111">
      <c r="F111">
        <f>IF(30&lt;=Inputs!B15,Schedule!F32-Inputs!B19*Inputs!B4,0)</f>
        <v/>
      </c>
    </row>
    <row r="112">
      <c r="F112">
        <f>IF(31&lt;=Inputs!B15,Schedule!F33-Inputs!B19*Inputs!B4,0)</f>
        <v/>
      </c>
    </row>
    <row r="113">
      <c r="F113">
        <f>IF(32&lt;=Inputs!B15,Schedule!F34-Inputs!B19*Inputs!B4,0)</f>
        <v/>
      </c>
    </row>
    <row r="114">
      <c r="F114">
        <f>IF(33&lt;=Inputs!B15,Schedule!F35-Inputs!B19*Inputs!B4,0)</f>
        <v/>
      </c>
    </row>
    <row r="115">
      <c r="F115">
        <f>IF(34&lt;=Inputs!B15,Schedule!F36-Inputs!B19*Inputs!B4,0)</f>
        <v/>
      </c>
    </row>
    <row r="116">
      <c r="F116">
        <f>IF(35&lt;=Inputs!B15,Schedule!F37-Inputs!B19*Inputs!B4,0)</f>
        <v/>
      </c>
    </row>
    <row r="117">
      <c r="F117">
        <f>IF(36&lt;=Inputs!B15,Schedule!F38-Inputs!B19*Inputs!B4,0)</f>
        <v/>
      </c>
    </row>
    <row r="118">
      <c r="F118">
        <f>IF(37&lt;=Inputs!B15,Schedule!F39-Inputs!B19*Inputs!B4,0)</f>
        <v/>
      </c>
    </row>
    <row r="119">
      <c r="F119">
        <f>IF(38&lt;=Inputs!B15,Schedule!F40-Inputs!B19*Inputs!B4,0)</f>
        <v/>
      </c>
    </row>
    <row r="120">
      <c r="F120">
        <f>IF(39&lt;=Inputs!B15,Schedule!F41-Inputs!B19*Inputs!B4,0)</f>
        <v/>
      </c>
    </row>
    <row r="121">
      <c r="F121">
        <f>IF(40&lt;=Inputs!B15,Schedule!F42-Inputs!B19*Inputs!B4,0)</f>
        <v/>
      </c>
    </row>
  </sheetData>
  <mergeCells count="6">
    <mergeCell ref="A1:D1"/>
    <mergeCell ref="A17:D17"/>
    <mergeCell ref="A8:D8"/>
    <mergeCell ref="A12:D12"/>
    <mergeCell ref="A3:D3"/>
    <mergeCell ref="A25:D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8" customWidth="1" min="7" max="7"/>
  </cols>
  <sheetData>
    <row r="1" ht="30" customHeight="1">
      <c r="A1" s="1" t="inlineStr">
        <is>
          <t>SENSITIVITY ANALYSIS — TORNADO  (±20 % parameter variation)</t>
        </is>
      </c>
    </row>
    <row r="2" ht="44" customHeight="1">
      <c r="A2" s="2" t="inlineStr">
        <is>
          <t>Parameter</t>
        </is>
      </c>
      <c r="B2" s="2" t="inlineStr">
        <is>
          <t>Base LCOE
($/kWh)</t>
        </is>
      </c>
      <c r="C2" s="2" t="inlineStr">
        <is>
          <t>LCOE at −20%
($/kWh)</t>
        </is>
      </c>
      <c r="D2" s="2" t="inlineStr">
        <is>
          <t>LCOE at +20%
($/kWh)</t>
        </is>
      </c>
      <c r="E2" s="2" t="inlineStr">
        <is>
          <t>Low Impact
($/kWh)</t>
        </is>
      </c>
      <c r="F2" s="2" t="inlineStr">
        <is>
          <t>High Impact
($/kWh)</t>
        </is>
      </c>
      <c r="G2" s="2" t="inlineStr">
        <is>
          <t>Swing
($/kWh)</t>
        </is>
      </c>
    </row>
    <row r="3" ht="20" customHeight="1">
      <c r="A3" s="16" t="inlineStr">
        <is>
          <t>CAPEX Components</t>
        </is>
      </c>
      <c r="B3" s="72">
        <f>Results!B4</f>
        <v/>
      </c>
      <c r="C3" s="73">
        <f>IF(((Inputs!B6*1)+SUMPRODUCT(IF(ROW(INDIRECT("1:40"))&lt;=Inputs!B15,(Inputs!B6*1)*MAX(0,Inputs!B13-(Inputs!B14*1)*ROW(INDIRECT("1:40")))/(1+(Inputs!B18/100))^ROW(INDIRECT("1:40")),0)))=0,0,((CAPEX!D31*0.8)+SUMPRODUCT(IF(ROW(INDIRECT("1:40"))&lt;=Inputs!B15,(Inputs!B19*Inputs!B4*1)/(1+(Inputs!B18/100))^ROW(INDIRECT("1:40")),0)))/((Inputs!B6*1)+SUMPRODUCT(IF(ROW(INDIRECT("1:40"))&lt;=Inputs!B15,(Inputs!B6*1)*MAX(0,Inputs!B13-(Inputs!B14*1)*ROW(INDIRECT("1:40")))/(1+(Inputs!B18/100))^ROW(INDIRECT("1:40")),0))))</f>
        <v/>
      </c>
      <c r="D3" s="73">
        <f>IF(((Inputs!B6*1)+SUMPRODUCT(IF(ROW(INDIRECT("1:40"))&lt;=Inputs!B15,(Inputs!B6*1)*MAX(0,Inputs!B13-(Inputs!B14*1)*ROW(INDIRECT("1:40")))/(1+(Inputs!B18/100))^ROW(INDIRECT("1:40")),0)))=0,0,((CAPEX!D31*1.2)+SUMPRODUCT(IF(ROW(INDIRECT("1:40"))&lt;=Inputs!B15,(Inputs!B19*Inputs!B4*1)/(1+(Inputs!B18/100))^ROW(INDIRECT("1:40")),0)))/((Inputs!B6*1)+SUMPRODUCT(IF(ROW(INDIRECT("1:40"))&lt;=Inputs!B15,(Inputs!B6*1)*MAX(0,Inputs!B13-(Inputs!B14*1)*ROW(INDIRECT("1:40")))/(1+(Inputs!B18/100))^ROW(INDIRECT("1:40")),0))))</f>
        <v/>
      </c>
      <c r="E3" s="74">
        <f>C3-B3</f>
        <v/>
      </c>
      <c r="F3" s="74">
        <f>D3-B3</f>
        <v/>
      </c>
      <c r="G3" s="75">
        <f>ABS(D3-C3)</f>
        <v/>
      </c>
    </row>
    <row r="4" ht="20" customHeight="1">
      <c r="A4" s="76" t="inlineStr">
        <is>
          <t>Discount Rate (WACC)</t>
        </is>
      </c>
      <c r="B4" s="77">
        <f>Results!B4</f>
        <v/>
      </c>
      <c r="C4" s="78">
        <f>IF(((Inputs!B6*1)+SUMPRODUCT(IF(ROW(INDIRECT("1:40"))&lt;=Inputs!B15,(Inputs!B6*1)*MAX(0,Inputs!B13-(Inputs!B14*1)*ROW(INDIRECT("1:40")))/(1+(Inputs!B18*0.8/100))^ROW(INDIRECT("1:40")),0)))=0,0,((CAPEX!D31*1)+SUMPRODUCT(IF(ROW(INDIRECT("1:40"))&lt;=Inputs!B15,(Inputs!B19*Inputs!B4*1)/(1+(Inputs!B18*0.8/100))^ROW(INDIRECT("1:40")),0)))/((Inputs!B6*1)+SUMPRODUCT(IF(ROW(INDIRECT("1:40"))&lt;=Inputs!B15,(Inputs!B6*1)*MAX(0,Inputs!B13-(Inputs!B14*1)*ROW(INDIRECT("1:40")))/(1+(Inputs!B18*0.8/100))^ROW(INDIRECT("1:40")),0))))</f>
        <v/>
      </c>
      <c r="D4" s="78">
        <f>IF(((Inputs!B6*1)+SUMPRODUCT(IF(ROW(INDIRECT("1:40"))&lt;=Inputs!B15,(Inputs!B6*1)*MAX(0,Inputs!B13-(Inputs!B14*1)*ROW(INDIRECT("1:40")))/(1+(Inputs!B18*1.2/100))^ROW(INDIRECT("1:40")),0)))=0,0,((CAPEX!D31*1)+SUMPRODUCT(IF(ROW(INDIRECT("1:40"))&lt;=Inputs!B15,(Inputs!B19*Inputs!B4*1)/(1+(Inputs!B18*1.2/100))^ROW(INDIRECT("1:40")),0)))/((Inputs!B6*1)+SUMPRODUCT(IF(ROW(INDIRECT("1:40"))&lt;=Inputs!B15,(Inputs!B6*1)*MAX(0,Inputs!B13-(Inputs!B14*1)*ROW(INDIRECT("1:40")))/(1+(Inputs!B18*1.2/100))^ROW(INDIRECT("1:40")),0))))</f>
        <v/>
      </c>
      <c r="E4" s="79">
        <f>C4-B4</f>
        <v/>
      </c>
      <c r="F4" s="79">
        <f>D4-B4</f>
        <v/>
      </c>
      <c r="G4" s="80">
        <f>ABS(D4-C4)</f>
        <v/>
      </c>
    </row>
    <row r="5" ht="20" customHeight="1">
      <c r="A5" s="16" t="inlineStr">
        <is>
          <t>Annual Energy</t>
        </is>
      </c>
      <c r="B5" s="72">
        <f>Results!B4</f>
        <v/>
      </c>
      <c r="C5" s="73">
        <f>IF(((Inputs!B6*0.8)+SUMPRODUCT(IF(ROW(INDIRECT("1:40"))&lt;=Inputs!B15,(Inputs!B6*0.8)*MAX(0,Inputs!B13-(Inputs!B14*1)*ROW(INDIRECT("1:40")))/(1+(Inputs!B18/100))^ROW(INDIRECT("1:40")),0)))=0,0,((CAPEX!D31*1)+SUMPRODUCT(IF(ROW(INDIRECT("1:40"))&lt;=Inputs!B15,(Inputs!B19*Inputs!B4*1)/(1+(Inputs!B18/100))^ROW(INDIRECT("1:40")),0)))/((Inputs!B6*0.8)+SUMPRODUCT(IF(ROW(INDIRECT("1:40"))&lt;=Inputs!B15,(Inputs!B6*0.8)*MAX(0,Inputs!B13-(Inputs!B14*1)*ROW(INDIRECT("1:40")))/(1+(Inputs!B18/100))^ROW(INDIRECT("1:40")),0))))</f>
        <v/>
      </c>
      <c r="D5" s="73">
        <f>IF(((Inputs!B6*1.2)+SUMPRODUCT(IF(ROW(INDIRECT("1:40"))&lt;=Inputs!B15,(Inputs!B6*1.2)*MAX(0,Inputs!B13-(Inputs!B14*1)*ROW(INDIRECT("1:40")))/(1+(Inputs!B18/100))^ROW(INDIRECT("1:40")),0)))=0,0,((CAPEX!D31*1)+SUMPRODUCT(IF(ROW(INDIRECT("1:40"))&lt;=Inputs!B15,(Inputs!B19*Inputs!B4*1)/(1+(Inputs!B18/100))^ROW(INDIRECT("1:40")),0)))/((Inputs!B6*1.2)+SUMPRODUCT(IF(ROW(INDIRECT("1:40"))&lt;=Inputs!B15,(Inputs!B6*1.2)*MAX(0,Inputs!B13-(Inputs!B14*1)*ROW(INDIRECT("1:40")))/(1+(Inputs!B18/100))^ROW(INDIRECT("1:40")),0))))</f>
        <v/>
      </c>
      <c r="E5" s="74">
        <f>C5-B5</f>
        <v/>
      </c>
      <c r="F5" s="74">
        <f>D5-B5</f>
        <v/>
      </c>
      <c r="G5" s="75">
        <f>ABS(D5-C5)</f>
        <v/>
      </c>
    </row>
    <row r="6" ht="20" customHeight="1">
      <c r="A6" s="76" t="inlineStr">
        <is>
          <t>O&amp;M Cost</t>
        </is>
      </c>
      <c r="B6" s="77">
        <f>Results!B4</f>
        <v/>
      </c>
      <c r="C6" s="78">
        <f>IF(((Inputs!B6*1)+SUMPRODUCT(IF(ROW(INDIRECT("1:40"))&lt;=Inputs!B15,(Inputs!B6*1)*MAX(0,Inputs!B13-(Inputs!B14*1)*ROW(INDIRECT("1:40")))/(1+(Inputs!B18/100))^ROW(INDIRECT("1:40")),0)))=0,0,((CAPEX!D31*1)+SUMPRODUCT(IF(ROW(INDIRECT("1:40"))&lt;=Inputs!B15,(Inputs!B19*Inputs!B4*0.8)/(1+(Inputs!B18/100))^ROW(INDIRECT("1:40")),0)))/((Inputs!B6*1)+SUMPRODUCT(IF(ROW(INDIRECT("1:40"))&lt;=Inputs!B15,(Inputs!B6*1)*MAX(0,Inputs!B13-(Inputs!B14*1)*ROW(INDIRECT("1:40")))/(1+(Inputs!B18/100))^ROW(INDIRECT("1:40")),0))))</f>
        <v/>
      </c>
      <c r="D6" s="78">
        <f>IF(((Inputs!B6*1)+SUMPRODUCT(IF(ROW(INDIRECT("1:40"))&lt;=Inputs!B15,(Inputs!B6*1)*MAX(0,Inputs!B13-(Inputs!B14*1)*ROW(INDIRECT("1:40")))/(1+(Inputs!B18/100))^ROW(INDIRECT("1:40")),0)))=0,0,((CAPEX!D31*1)+SUMPRODUCT(IF(ROW(INDIRECT("1:40"))&lt;=Inputs!B15,(Inputs!B19*Inputs!B4*1.2)/(1+(Inputs!B18/100))^ROW(INDIRECT("1:40")),0)))/((Inputs!B6*1)+SUMPRODUCT(IF(ROW(INDIRECT("1:40"))&lt;=Inputs!B15,(Inputs!B6*1)*MAX(0,Inputs!B13-(Inputs!B14*1)*ROW(INDIRECT("1:40")))/(1+(Inputs!B18/100))^ROW(INDIRECT("1:40")),0))))</f>
        <v/>
      </c>
      <c r="E6" s="79">
        <f>C6-B6</f>
        <v/>
      </c>
      <c r="F6" s="79">
        <f>D6-B6</f>
        <v/>
      </c>
      <c r="G6" s="80">
        <f>ABS(D6-C6)</f>
        <v/>
      </c>
    </row>
    <row r="7" ht="20" customHeight="1">
      <c r="A7" s="16" t="inlineStr">
        <is>
          <t>Project Lifetime</t>
        </is>
      </c>
      <c r="B7" s="72">
        <f>Results!B4</f>
        <v/>
      </c>
      <c r="C7" s="73">
        <f>IF(((Inputs!B6*1)+SUMPRODUCT(IF(ROW(INDIRECT("1:40"))&lt;=ROUND(Inputs!B15*0.8,0),(Inputs!B6*1)*MAX(0,Inputs!B13-(Inputs!B14*1)*ROW(INDIRECT("1:40")))/(1+(Inputs!B18/100))^ROW(INDIRECT("1:40")),0)))=0,0,((CAPEX!D31*1)+SUMPRODUCT(IF(ROW(INDIRECT("1:40"))&lt;=ROUND(Inputs!B15*0.8,0),(Inputs!B19*Inputs!B4*1)/(1+(Inputs!B18/100))^ROW(INDIRECT("1:40")),0)))/((Inputs!B6*1)+SUMPRODUCT(IF(ROW(INDIRECT("1:40"))&lt;=ROUND(Inputs!B15*0.8,0),(Inputs!B6*1)*MAX(0,Inputs!B13-(Inputs!B14*1)*ROW(INDIRECT("1:40")))/(1+(Inputs!B18/100))^ROW(INDIRECT("1:40")),0))))</f>
        <v/>
      </c>
      <c r="D7" s="73">
        <f>IF(((Inputs!B6*1)+SUMPRODUCT(IF(ROW(INDIRECT("1:40"))&lt;=ROUND(Inputs!B15*1.2,0),(Inputs!B6*1)*MAX(0,Inputs!B13-(Inputs!B14*1)*ROW(INDIRECT("1:40")))/(1+(Inputs!B18/100))^ROW(INDIRECT("1:40")),0)))=0,0,((CAPEX!D31*1)+SUMPRODUCT(IF(ROW(INDIRECT("1:40"))&lt;=ROUND(Inputs!B15*1.2,0),(Inputs!B19*Inputs!B4*1)/(1+(Inputs!B18/100))^ROW(INDIRECT("1:40")),0)))/((Inputs!B6*1)+SUMPRODUCT(IF(ROW(INDIRECT("1:40"))&lt;=ROUND(Inputs!B15*1.2,0),(Inputs!B6*1)*MAX(0,Inputs!B13-(Inputs!B14*1)*ROW(INDIRECT("1:40")))/(1+(Inputs!B18/100))^ROW(INDIRECT("1:40")),0))))</f>
        <v/>
      </c>
      <c r="E7" s="74">
        <f>C7-B7</f>
        <v/>
      </c>
      <c r="F7" s="74">
        <f>D7-B7</f>
        <v/>
      </c>
      <c r="G7" s="75">
        <f>ABS(D7-C7)</f>
        <v/>
      </c>
    </row>
    <row r="8" ht="20" customHeight="1">
      <c r="A8" s="76" t="inlineStr">
        <is>
          <t>Degradation Rate</t>
        </is>
      </c>
      <c r="B8" s="77">
        <f>Results!B4</f>
        <v/>
      </c>
      <c r="C8" s="78">
        <f>IF(((Inputs!B6*1)+SUMPRODUCT(IF(ROW(INDIRECT("1:40"))&lt;=Inputs!B15,(Inputs!B6*1)*MAX(0,Inputs!B13-(Inputs!B14*0.8)*ROW(INDIRECT("1:40")))/(1+(Inputs!B18/100))^ROW(INDIRECT("1:40")),0)))=0,0,((CAPEX!D31*1)+SUMPRODUCT(IF(ROW(INDIRECT("1:40"))&lt;=Inputs!B15,(Inputs!B19*Inputs!B4*1)/(1+(Inputs!B18/100))^ROW(INDIRECT("1:40")),0)))/((Inputs!B6*1)+SUMPRODUCT(IF(ROW(INDIRECT("1:40"))&lt;=Inputs!B15,(Inputs!B6*1)*MAX(0,Inputs!B13-(Inputs!B14*0.8)*ROW(INDIRECT("1:40")))/(1+(Inputs!B18/100))^ROW(INDIRECT("1:40")),0))))</f>
        <v/>
      </c>
      <c r="D8" s="78">
        <f>IF(((Inputs!B6*1)+SUMPRODUCT(IF(ROW(INDIRECT("1:40"))&lt;=Inputs!B15,(Inputs!B6*1)*MAX(0,Inputs!B13-(Inputs!B14*1.2)*ROW(INDIRECT("1:40")))/(1+(Inputs!B18/100))^ROW(INDIRECT("1:40")),0)))=0,0,((CAPEX!D31*1)+SUMPRODUCT(IF(ROW(INDIRECT("1:40"))&lt;=Inputs!B15,(Inputs!B19*Inputs!B4*1)/(1+(Inputs!B18/100))^ROW(INDIRECT("1:40")),0)))/((Inputs!B6*1)+SUMPRODUCT(IF(ROW(INDIRECT("1:40"))&lt;=Inputs!B15,(Inputs!B6*1)*MAX(0,Inputs!B13-(Inputs!B14*1.2)*ROW(INDIRECT("1:40")))/(1+(Inputs!B18/100))^ROW(INDIRECT("1:40")),0))))</f>
        <v/>
      </c>
      <c r="E8" s="79">
        <f>C8-B8</f>
        <v/>
      </c>
      <c r="F8" s="79">
        <f>D8-B8</f>
        <v/>
      </c>
      <c r="G8" s="80">
        <f>ABS(D8-C8)</f>
        <v/>
      </c>
    </row>
    <row r="9" ht="20" customHeight="1">
      <c r="A9" s="16" t="inlineStr">
        <is>
          <t>Tariff / PPA  ← does not affect LCOE</t>
        </is>
      </c>
      <c r="B9" s="72">
        <f>Results!B4</f>
        <v/>
      </c>
      <c r="C9" s="81">
        <f>Results!B4</f>
        <v/>
      </c>
      <c r="D9" s="81">
        <f>Results!B4</f>
        <v/>
      </c>
      <c r="E9" s="82" t="n">
        <v>0</v>
      </c>
      <c r="F9" s="82" t="n">
        <v>0</v>
      </c>
      <c r="G9" s="81" t="n">
        <v>0</v>
      </c>
    </row>
    <row r="11">
      <c r="A11" s="28" t="inlineStr">
        <is>
          <t>Each row varies ONE parameter by ±20 % while holding all others at base values. Swing = |LCOE(+20%) − LCOE(−20%)|. Tariff/PPA does not enter the LCOE formula (only IRR &amp; NPV are tariff-sensitive).</t>
        </is>
      </c>
    </row>
  </sheetData>
  <mergeCells count="2">
    <mergeCell ref="A11:G1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2026-04-14T00:20:39Z</dcterms:created>
  <dcterms:modified xsi:type="dcterms:W3CDTF">2026-04-14T00:20:40Z</dcterms:modified>
</cp:coreProperties>
</file>